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ETUP" sheetId="2" state="visible" r:id="rId2"/>
    <sheet xmlns:r="http://schemas.openxmlformats.org/officeDocument/2006/relationships" name="TRANSACTIONS" sheetId="3" state="visible" r:id="rId3"/>
    <sheet xmlns:r="http://schemas.openxmlformats.org/officeDocument/2006/relationships" name="ACCOUNTS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50-30-20" sheetId="6" state="visible" r:id="rId6"/>
  </sheets>
  <definedNames>
    <definedName name="Categories">SETUP!$E$6:$E$25</definedName>
    <definedName name="Accounts">SETUP!$G$6:$G$25</definedName>
    <definedName name="PaymentMethods">SETUP!$I$6:$I$25</definedName>
    <definedName name="TxnTypes">SETUP!$K$6:$K$25</definedName>
    <definedName name="Groups">SETUP!$M$6:$M$25</definedName>
    <definedName name="CatGroupCat">SETUP!$O$6:$O$25</definedName>
    <definedName name="CatGroupGrp">SETUP!$P$6:$P$25</definedName>
    <definedName name="CurrencySym">SETUP!$C$8</definedName>
    <definedName name="TxDate">TRANSACTIONS!$A$4:$A$203</definedName>
    <definedName name="TxMonth">TRANSACTIONS!$B$4:$B$203</definedName>
    <definedName name="TxType">TRANSACTIONS!$C$4:$C$203</definedName>
    <definedName name="TxCat">TRANSACTIONS!$D$4:$D$203</definedName>
    <definedName name="TxAccount">TRANSACTIONS!$F$4:$F$203</definedName>
    <definedName name="TxAmount">TRANSACTIONS!$H$4:$H$203</definedName>
    <definedName name="TxGroup">TRANSACTIONS!$M$4:$M$203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"/>
    <numFmt numFmtId="166" formatCode="0.0%"/>
  </numFmts>
  <fonts count="17">
    <font>
      <name val="Calibri"/>
      <family val="2"/>
      <color theme="1"/>
      <sz val="11"/>
      <scheme val="minor"/>
    </font>
    <font>
      <name val="Calibri"/>
      <b val="1"/>
      <color rgb="001F3A5F"/>
      <sz val="18"/>
    </font>
    <font>
      <name val="Calibri"/>
      <color rgb="006B7A8D"/>
      <sz val="10"/>
    </font>
    <font>
      <name val="Calibri"/>
      <b val="1"/>
      <color rgb="001F3A5F"/>
      <sz val="12"/>
    </font>
    <font>
      <name val="Calibri"/>
      <b val="1"/>
      <color rgb="0026323F"/>
      <sz val="11"/>
    </font>
    <font>
      <name val="Calibri"/>
      <b val="1"/>
      <color rgb="00FFFFFF"/>
      <sz val="11"/>
    </font>
    <font>
      <name val="Calibri"/>
      <color rgb="0026323F"/>
      <sz val="10"/>
    </font>
    <font>
      <name val="Calibri"/>
      <b val="1"/>
      <color rgb="001F3A5F"/>
      <sz val="13"/>
    </font>
    <font>
      <name val="Calibri"/>
      <b val="1"/>
      <color rgb="00FFFFFF"/>
      <sz val="10"/>
    </font>
    <font>
      <name val="Calibri"/>
      <b val="1"/>
      <color rgb="001F3A5F"/>
      <sz val="16"/>
    </font>
    <font>
      <name val="Calibri"/>
      <b val="1"/>
      <color rgb="001F3A5F"/>
      <sz val="11"/>
    </font>
    <font>
      <name val="Calibri"/>
      <b val="1"/>
      <color rgb="001F3A5F"/>
      <sz val="20"/>
    </font>
    <font>
      <name val="Calibri"/>
      <b val="1"/>
      <color rgb="0026323F"/>
      <sz val="16"/>
    </font>
    <font>
      <name val="Calibri"/>
      <b val="1"/>
      <color rgb="001F3A5F"/>
      <sz val="24"/>
    </font>
    <font>
      <name val="Calibri"/>
      <color rgb="006B7A8D"/>
      <sz val="12"/>
    </font>
    <font>
      <name val="Calibri"/>
      <color rgb="0026323F"/>
      <sz val="11"/>
    </font>
    <font>
      <b val="1"/>
      <color rgb="002A9D8F"/>
      <u val="single"/>
    </font>
  </fonts>
  <fills count="10">
    <fill>
      <patternFill/>
    </fill>
    <fill>
      <patternFill patternType="gray125"/>
    </fill>
    <fill>
      <patternFill patternType="solid">
        <fgColor rgb="00FFF7E6"/>
      </patternFill>
    </fill>
    <fill>
      <patternFill patternType="solid">
        <fgColor rgb="002A9D8F"/>
      </patternFill>
    </fill>
    <fill>
      <patternFill patternType="solid">
        <fgColor rgb="00F4F6F8"/>
      </patternFill>
    </fill>
    <fill>
      <patternFill patternType="solid">
        <fgColor rgb="00FFFFFF"/>
      </patternFill>
    </fill>
    <fill>
      <patternFill patternType="solid">
        <fgColor rgb="001F3A5F"/>
      </patternFill>
    </fill>
    <fill>
      <patternFill patternType="solid">
        <fgColor rgb="00E76F51"/>
      </patternFill>
    </fill>
    <fill>
      <patternFill patternType="solid">
        <fgColor rgb="006B7A8D"/>
      </patternFill>
    </fill>
    <fill>
      <patternFill patternType="solid">
        <fgColor rgb="00E9C46A"/>
      </patternFill>
    </fill>
  </fills>
  <borders count="2">
    <border>
      <left/>
      <right/>
      <top/>
      <bottom/>
      <diagonal/>
    </border>
    <border>
      <left style="thin">
        <color rgb="00D9DEE4"/>
      </left>
      <right style="thin">
        <color rgb="00D9DEE4"/>
      </right>
      <top style="thin">
        <color rgb="00D9DEE4"/>
      </top>
      <bottom style="thin">
        <color rgb="00D9DEE4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3" fillId="0" borderId="0" pivotButton="0" quotePrefix="0" xfId="0"/>
    <xf numFmtId="0" fontId="16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0" fontId="5" fillId="6" borderId="1" pivotButton="0" quotePrefix="0" xfId="0"/>
    <xf numFmtId="0" fontId="4" fillId="0" borderId="0" pivotButton="0" quotePrefix="0" xfId="0"/>
    <xf numFmtId="0" fontId="0" fillId="2" borderId="1" applyAlignment="1" pivotButton="0" quotePrefix="0" xfId="0">
      <alignment horizontal="left"/>
    </xf>
    <xf numFmtId="0" fontId="6" fillId="4" borderId="1" pivotButton="0" quotePrefix="0" xfId="0"/>
    <xf numFmtId="0" fontId="6" fillId="0" borderId="1" pivotButton="0" quotePrefix="0" xfId="0"/>
    <xf numFmtId="0" fontId="6" fillId="5" borderId="1" pivotButton="0" quotePrefix="0" xfId="0"/>
    <xf numFmtId="0" fontId="7" fillId="0" borderId="0" pivotButton="0" quotePrefix="0" xfId="0"/>
    <xf numFmtId="0" fontId="8" fillId="6" borderId="1" applyAlignment="1" pivotButton="0" quotePrefix="0" xfId="0">
      <alignment horizontal="center"/>
    </xf>
    <xf numFmtId="164" fontId="6" fillId="0" borderId="1" pivotButton="0" quotePrefix="0" xfId="0"/>
    <xf numFmtId="4" fontId="6" fillId="0" borderId="1" pivotButton="0" quotePrefix="0" xfId="0"/>
    <xf numFmtId="0" fontId="9" fillId="0" borderId="0" pivotButton="0" quotePrefix="0" xfId="0"/>
    <xf numFmtId="0" fontId="8" fillId="3" borderId="1" applyAlignment="1" pivotButton="0" quotePrefix="0" xfId="0">
      <alignment horizontal="center"/>
    </xf>
    <xf numFmtId="0" fontId="4" fillId="0" borderId="1" pivotButton="0" quotePrefix="0" xfId="0"/>
    <xf numFmtId="4" fontId="0" fillId="2" borderId="1" pivotButton="0" quotePrefix="0" xfId="0"/>
    <xf numFmtId="4" fontId="10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0" fontId="8" fillId="3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165" fontId="12" fillId="5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166" fontId="12" fillId="5" borderId="1" applyAlignment="1" pivotButton="0" quotePrefix="0" xfId="0">
      <alignment horizontal="left" vertical="center"/>
    </xf>
    <xf numFmtId="0" fontId="8" fillId="6" borderId="1" pivotButton="0" quotePrefix="0" xfId="0"/>
    <xf numFmtId="0" fontId="8" fillId="3" borderId="1" pivotButton="0" quotePrefix="0" xfId="0"/>
    <xf numFmtId="0" fontId="8" fillId="7" borderId="1" pivotButton="0" quotePrefix="0" xfId="0"/>
    <xf numFmtId="3" fontId="0" fillId="0" borderId="1" pivotButton="0" quotePrefix="0" xfId="0"/>
    <xf numFmtId="9" fontId="0" fillId="0" borderId="1" pivotButton="0" quotePrefix="0" xfId="0"/>
  </cellXfs>
  <cellStyles count="1">
    <cellStyle name="Normal" xfId="0" builtinId="0" hidden="0"/>
  </cellStyles>
  <dxfs count="2">
    <dxf>
      <font>
        <b val="1"/>
        <color rgb="00E76F51"/>
      </font>
      <fill>
        <patternFill patternType="solid">
          <fgColor rgb="00FAD4CC"/>
        </patternFill>
      </fill>
    </dxf>
    <dxf>
      <font>
        <b val="1"/>
        <color rgb="002A9D8F"/>
      </font>
      <fill>
        <patternFill patternType="solid">
          <fgColor rgb="00D7F0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Spending by Category</a:t>
            </a:r>
          </a:p>
        </rich>
      </tx>
    </title>
    <plotArea>
      <pieChart>
        <varyColors val="1"/>
        <ser>
          <idx val="0"/>
          <order val="0"/>
          <tx>
            <strRef>
              <f>'DASHBOARD'!C13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'DASHBOARD'!$B$14:$B$25</f>
            </numRef>
          </cat>
          <val>
            <numRef>
              <f>'DASHBOARD'!$C$14:$C$25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Income vs Expense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'DASHBOARD'!G13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'DASHBOARD'!$F$14:$F$25</f>
            </numRef>
          </cat>
          <val>
            <numRef>
              <f>'DASHBOARD'!$G$14:$G$25</f>
            </numRef>
          </val>
        </ser>
        <ser>
          <idx val="1"/>
          <order val="1"/>
          <tx>
            <strRef>
              <f>'DASHBOARD'!H13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'DASHBOARD'!$F$14:$F$25</f>
            </numRef>
          </cat>
          <val>
            <numRef>
              <f>'DASHBOARD'!$H$14:$H$25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27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27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ETUP'!A1" TargetMode="External" Id="rId1"/><Relationship Type="http://schemas.openxmlformats.org/officeDocument/2006/relationships/hyperlink" Target="#'TRANSACTIONS'!A1" TargetMode="External" Id="rId2"/><Relationship Type="http://schemas.openxmlformats.org/officeDocument/2006/relationships/hyperlink" Target="#'ACCOUNTS'!A1" TargetMode="External" Id="rId3"/><Relationship Type="http://schemas.openxmlformats.org/officeDocument/2006/relationships/hyperlink" Target="#'DASHBOARD'!A1" TargetMode="External" Id="rId4"/><Relationship Type="http://schemas.openxmlformats.org/officeDocument/2006/relationships/hyperlink" Target="#'50-30-20'!A1" TargetMode="External" Id="rId5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B2:H1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2">
      <c r="B2" s="1" t="inlineStr">
        <is>
          <t>BUDGET PLANNER</t>
        </is>
      </c>
    </row>
    <row r="3">
      <c r="B3" s="2" t="inlineStr">
        <is>
          <t>Personal &amp; household budgeting — sample engine</t>
        </is>
      </c>
    </row>
    <row r="6">
      <c r="B6" s="3" t="inlineStr">
        <is>
          <t>1.  Open SETUP and enter your year, currency, categories and accounts.</t>
        </is>
      </c>
    </row>
    <row r="7">
      <c r="B7" s="3" t="inlineStr">
        <is>
          <t>2.  Log every income and expense in TRANSACTIONS (use the dropdowns).</t>
        </is>
      </c>
    </row>
    <row r="8">
      <c r="B8" s="3" t="inlineStr">
        <is>
          <t>3.  ACCOUNTS, DASHBOARD and 50/30/20 update automatically — no manual totals.</t>
        </is>
      </c>
    </row>
    <row r="9">
      <c r="B9" s="3" t="inlineStr">
        <is>
          <t>4.  Full version adds 12 monthly tabs, bills, sinking funds, debt payoff, net worth, investment forecast, no-spend tracker and a printable report.</t>
        </is>
      </c>
    </row>
    <row r="12">
      <c r="B12" s="4" t="inlineStr">
        <is>
          <t>Sheets:</t>
        </is>
      </c>
    </row>
    <row r="13">
      <c r="B13" s="5" t="inlineStr">
        <is>
          <t>►  SETUP</t>
        </is>
      </c>
    </row>
    <row r="14">
      <c r="B14" s="5" t="inlineStr">
        <is>
          <t>►  TRANSACTIONS</t>
        </is>
      </c>
    </row>
    <row r="15">
      <c r="B15" s="5" t="inlineStr">
        <is>
          <t>►  ACCOUNTS</t>
        </is>
      </c>
    </row>
    <row r="16">
      <c r="B16" s="5" t="inlineStr">
        <is>
          <t>►  DASHBOARD</t>
        </is>
      </c>
    </row>
    <row r="17">
      <c r="B17" s="5" t="inlineStr">
        <is>
          <t>►  50-30-20</t>
        </is>
      </c>
    </row>
  </sheetData>
  <mergeCells count="4">
    <mergeCell ref="B6:H6"/>
    <mergeCell ref="B8:H8"/>
    <mergeCell ref="B7:H7"/>
    <mergeCell ref="B9:H9"/>
  </mergeCells>
  <hyperlinks>
    <hyperlink xmlns:r="http://schemas.openxmlformats.org/officeDocument/2006/relationships" ref="B13" r:id="rId1"/>
    <hyperlink xmlns:r="http://schemas.openxmlformats.org/officeDocument/2006/relationships" ref="B14" r:id="rId2"/>
    <hyperlink xmlns:r="http://schemas.openxmlformats.org/officeDocument/2006/relationships" ref="B15" r:id="rId3"/>
    <hyperlink xmlns:r="http://schemas.openxmlformats.org/officeDocument/2006/relationships" ref="B16" r:id="rId4"/>
    <hyperlink xmlns:r="http://schemas.openxmlformats.org/officeDocument/2006/relationships" ref="B17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B7A8D"/>
    <outlinePr summaryBelow="1" summaryRight="1"/>
    <pageSetUpPr/>
  </sheetPr>
  <dimension ref="B2:P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2" customWidth="1" min="4" max="4"/>
    <col width="16" customWidth="1" min="5" max="5"/>
    <col width="2" customWidth="1" min="6" max="6"/>
    <col width="14" customWidth="1" min="7" max="7"/>
    <col width="2" customWidth="1" min="8" max="8"/>
    <col width="16" customWidth="1" min="9" max="9"/>
    <col width="2" customWidth="1" min="10" max="10"/>
    <col width="12" customWidth="1" min="11" max="11"/>
    <col width="2" customWidth="1" min="12" max="12"/>
    <col width="14" customWidth="1" min="13" max="13"/>
    <col width="2" customWidth="1" min="14" max="14"/>
    <col width="16" customWidth="1" min="15" max="15"/>
    <col width="12" customWidth="1" min="16" max="16"/>
  </cols>
  <sheetData>
    <row r="2">
      <c r="B2" s="6" t="inlineStr">
        <is>
          <t>SETUP</t>
        </is>
      </c>
    </row>
    <row r="3">
      <c r="B3" s="7" t="inlineStr">
        <is>
          <t>Edit lists here once. Categories, Accounts, Payment Methods and Groups feed every dropdown and dashboard.</t>
        </is>
      </c>
    </row>
    <row r="5">
      <c r="B5" s="4" t="inlineStr">
        <is>
          <t>Settings</t>
        </is>
      </c>
      <c r="E5" s="8" t="inlineStr">
        <is>
          <t>Categories</t>
        </is>
      </c>
      <c r="G5" s="9" t="inlineStr">
        <is>
          <t>Accounts</t>
        </is>
      </c>
      <c r="I5" s="10" t="inlineStr">
        <is>
          <t>Payment Methods</t>
        </is>
      </c>
      <c r="K5" s="11" t="inlineStr">
        <is>
          <t>Types</t>
        </is>
      </c>
      <c r="M5" s="8" t="inlineStr">
        <is>
          <t>50/30/20 Groups</t>
        </is>
      </c>
      <c r="O5" s="12" t="inlineStr">
        <is>
          <t>Category</t>
        </is>
      </c>
      <c r="P5" s="12" t="inlineStr">
        <is>
          <t>Group</t>
        </is>
      </c>
    </row>
    <row r="6">
      <c r="B6" s="13" t="inlineStr">
        <is>
          <t>Budget Year</t>
        </is>
      </c>
      <c r="C6" s="14" t="n">
        <v>2026</v>
      </c>
      <c r="E6" s="15" t="inlineStr">
        <is>
          <t>Salary</t>
        </is>
      </c>
      <c r="G6" s="15" t="inlineStr">
        <is>
          <t>Checking</t>
        </is>
      </c>
      <c r="I6" s="15" t="inlineStr">
        <is>
          <t>Card</t>
        </is>
      </c>
      <c r="K6" s="15" t="inlineStr">
        <is>
          <t>Income</t>
        </is>
      </c>
      <c r="M6" s="15" t="inlineStr">
        <is>
          <t>Needs</t>
        </is>
      </c>
      <c r="O6" s="16" t="inlineStr">
        <is>
          <t>Salary</t>
        </is>
      </c>
      <c r="P6" s="16" t="inlineStr">
        <is>
          <t>Needs</t>
        </is>
      </c>
    </row>
    <row r="7">
      <c r="B7" s="13" t="inlineStr">
        <is>
          <t>Start Month</t>
        </is>
      </c>
      <c r="C7" s="14" t="inlineStr">
        <is>
          <t>January</t>
        </is>
      </c>
      <c r="E7" s="17" t="inlineStr">
        <is>
          <t>Freelance</t>
        </is>
      </c>
      <c r="G7" s="17" t="inlineStr">
        <is>
          <t>Cash</t>
        </is>
      </c>
      <c r="I7" s="17" t="inlineStr">
        <is>
          <t>Cash</t>
        </is>
      </c>
      <c r="K7" s="17" t="inlineStr">
        <is>
          <t>Expense</t>
        </is>
      </c>
      <c r="M7" s="17" t="inlineStr">
        <is>
          <t>Wants</t>
        </is>
      </c>
      <c r="O7" s="16" t="inlineStr">
        <is>
          <t>Freelance</t>
        </is>
      </c>
      <c r="P7" s="16" t="inlineStr">
        <is>
          <t>Needs</t>
        </is>
      </c>
    </row>
    <row r="8">
      <c r="B8" s="13" t="inlineStr">
        <is>
          <t>Currency Symbol</t>
        </is>
      </c>
      <c r="C8" s="14" t="inlineStr">
        <is>
          <t>$</t>
        </is>
      </c>
      <c r="E8" s="15" t="inlineStr">
        <is>
          <t>Groceries</t>
        </is>
      </c>
      <c r="G8" s="15" t="inlineStr">
        <is>
          <t>Credit Card</t>
        </is>
      </c>
      <c r="I8" s="15" t="inlineStr">
        <is>
          <t>Bank Transfer</t>
        </is>
      </c>
      <c r="K8" s="15" t="inlineStr">
        <is>
          <t>Transfer</t>
        </is>
      </c>
      <c r="M8" s="15" t="inlineStr">
        <is>
          <t>Savings</t>
        </is>
      </c>
      <c r="O8" s="16" t="inlineStr">
        <is>
          <t>Groceries</t>
        </is>
      </c>
      <c r="P8" s="16" t="inlineStr">
        <is>
          <t>Needs</t>
        </is>
      </c>
    </row>
    <row r="9">
      <c r="B9" s="13" t="inlineStr">
        <is>
          <t>Household Name</t>
        </is>
      </c>
      <c r="C9" s="14" t="inlineStr">
        <is>
          <t>Sample Household</t>
        </is>
      </c>
      <c r="E9" s="17" t="inlineStr">
        <is>
          <t>Rent</t>
        </is>
      </c>
      <c r="G9" s="17" t="inlineStr">
        <is>
          <t>Savings</t>
        </is>
      </c>
      <c r="I9" s="17" t="inlineStr">
        <is>
          <t>Direct Debit</t>
        </is>
      </c>
      <c r="O9" s="16" t="inlineStr">
        <is>
          <t>Rent</t>
        </is>
      </c>
      <c r="P9" s="16" t="inlineStr">
        <is>
          <t>Needs</t>
        </is>
      </c>
    </row>
    <row r="10">
      <c r="E10" s="15" t="inlineStr">
        <is>
          <t>Utilities</t>
        </is>
      </c>
      <c r="G10" s="15" t="inlineStr">
        <is>
          <t>Investment</t>
        </is>
      </c>
      <c r="O10" s="16" t="inlineStr">
        <is>
          <t>Utilities</t>
        </is>
      </c>
      <c r="P10" s="16" t="inlineStr">
        <is>
          <t>Needs</t>
        </is>
      </c>
    </row>
    <row r="11">
      <c r="E11" s="17" t="inlineStr">
        <is>
          <t>Transport</t>
        </is>
      </c>
      <c r="O11" s="16" t="inlineStr">
        <is>
          <t>Transport</t>
        </is>
      </c>
      <c r="P11" s="16" t="inlineStr">
        <is>
          <t>Needs</t>
        </is>
      </c>
    </row>
    <row r="12">
      <c r="E12" s="15" t="inlineStr">
        <is>
          <t>Dining</t>
        </is>
      </c>
      <c r="O12" s="16" t="inlineStr">
        <is>
          <t>Dining</t>
        </is>
      </c>
      <c r="P12" s="16" t="inlineStr">
        <is>
          <t>Wants</t>
        </is>
      </c>
    </row>
    <row r="13">
      <c r="E13" s="17" t="inlineStr">
        <is>
          <t>Health</t>
        </is>
      </c>
      <c r="O13" s="16" t="inlineStr">
        <is>
          <t>Health</t>
        </is>
      </c>
      <c r="P13" s="16" t="inlineStr">
        <is>
          <t>Needs</t>
        </is>
      </c>
    </row>
    <row r="14">
      <c r="E14" s="15" t="inlineStr">
        <is>
          <t>Subscriptions</t>
        </is>
      </c>
      <c r="O14" s="16" t="inlineStr">
        <is>
          <t>Subscriptions</t>
        </is>
      </c>
      <c r="P14" s="16" t="inlineStr">
        <is>
          <t>Wants</t>
        </is>
      </c>
    </row>
    <row r="15">
      <c r="E15" s="17" t="inlineStr">
        <is>
          <t>Insurance</t>
        </is>
      </c>
      <c r="O15" s="16" t="inlineStr">
        <is>
          <t>Insurance</t>
        </is>
      </c>
      <c r="P15" s="16" t="inlineStr">
        <is>
          <t>Needs</t>
        </is>
      </c>
    </row>
    <row r="16">
      <c r="E16" s="15" t="inlineStr">
        <is>
          <t>Savings</t>
        </is>
      </c>
      <c r="O16" s="16" t="inlineStr">
        <is>
          <t>Savings</t>
        </is>
      </c>
      <c r="P16" s="16" t="inlineStr">
        <is>
          <t>Savings</t>
        </is>
      </c>
    </row>
    <row r="17">
      <c r="E17" s="17" t="inlineStr">
        <is>
          <t>Debt Payment</t>
        </is>
      </c>
      <c r="O17" s="16" t="inlineStr">
        <is>
          <t>Debt Payment</t>
        </is>
      </c>
      <c r="P17" s="16" t="inlineStr">
        <is>
          <t>Savings</t>
        </is>
      </c>
    </row>
    <row r="18">
      <c r="E18" s="15" t="inlineStr">
        <is>
          <t>Entertainment</t>
        </is>
      </c>
      <c r="O18" s="16" t="inlineStr">
        <is>
          <t>Entertainment</t>
        </is>
      </c>
      <c r="P18" s="16" t="inlineStr">
        <is>
          <t>Wants</t>
        </is>
      </c>
    </row>
    <row r="19">
      <c r="E19" s="17" t="inlineStr">
        <is>
          <t>Misc</t>
        </is>
      </c>
      <c r="O19" s="16" t="inlineStr">
        <is>
          <t>Misc</t>
        </is>
      </c>
      <c r="P19" s="16" t="inlineStr">
        <is>
          <t>Wants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A5F"/>
    <outlinePr summaryBelow="1" summaryRight="1"/>
    <pageSetUpPr/>
  </sheetPr>
  <dimension ref="A1:M20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4" customWidth="1" min="4" max="4"/>
    <col width="26" customWidth="1" min="5" max="5"/>
    <col width="13" customWidth="1" min="6" max="6"/>
    <col width="15" customWidth="1" min="7" max="7"/>
    <col width="12" customWidth="1" min="8" max="8"/>
    <col width="10" customWidth="1" min="9" max="9"/>
    <col width="11" customWidth="1" min="10" max="10"/>
    <col width="9" customWidth="1" min="11" max="11"/>
    <col width="22" customWidth="1" min="12" max="12"/>
    <col width="12" customWidth="1" min="13" max="13"/>
  </cols>
  <sheetData>
    <row r="1">
      <c r="A1" s="18" t="inlineStr">
        <is>
          <t>TRANSACTIONS  —  log every movement here; all dashboards update automatically</t>
        </is>
      </c>
    </row>
    <row r="3">
      <c r="A3" s="19" t="inlineStr">
        <is>
          <t>Date</t>
        </is>
      </c>
      <c r="B3" s="19" t="inlineStr">
        <is>
          <t>Month</t>
        </is>
      </c>
      <c r="C3" s="19" t="inlineStr">
        <is>
          <t>Type</t>
        </is>
      </c>
      <c r="D3" s="19" t="inlineStr">
        <is>
          <t>Category</t>
        </is>
      </c>
      <c r="E3" s="19" t="inlineStr">
        <is>
          <t>Description</t>
        </is>
      </c>
      <c r="F3" s="19" t="inlineStr">
        <is>
          <t>Account</t>
        </is>
      </c>
      <c r="G3" s="19" t="inlineStr">
        <is>
          <t>Payment Method</t>
        </is>
      </c>
      <c r="H3" s="19" t="inlineStr">
        <is>
          <t>Amount</t>
        </is>
      </c>
      <c r="I3" s="19" t="inlineStr">
        <is>
          <t>User</t>
        </is>
      </c>
      <c r="J3" s="19" t="inlineStr">
        <is>
          <t>Recurring</t>
        </is>
      </c>
      <c r="K3" s="19" t="inlineStr">
        <is>
          <t>Cleared</t>
        </is>
      </c>
      <c r="L3" s="19" t="inlineStr">
        <is>
          <t>Notes</t>
        </is>
      </c>
      <c r="M3" s="19" t="inlineStr">
        <is>
          <t>Group (auto)</t>
        </is>
      </c>
    </row>
    <row r="4">
      <c r="A4" s="20" t="inlineStr">
        <is>
          <t>2026-01-05</t>
        </is>
      </c>
      <c r="B4" s="16">
        <f>IF($A4="","",TEXT($A4,"MMMM"))</f>
        <v/>
      </c>
      <c r="C4" s="16" t="inlineStr">
        <is>
          <t>Income</t>
        </is>
      </c>
      <c r="D4" s="16" t="inlineStr">
        <is>
          <t>Salary</t>
        </is>
      </c>
      <c r="E4" s="16" t="inlineStr">
        <is>
          <t>Monthly salary</t>
        </is>
      </c>
      <c r="F4" s="16" t="inlineStr">
        <is>
          <t>Checking</t>
        </is>
      </c>
      <c r="G4" s="16" t="inlineStr">
        <is>
          <t>Bank Transfer</t>
        </is>
      </c>
      <c r="H4" s="21" t="n">
        <v>4200</v>
      </c>
      <c r="I4" s="16" t="inlineStr">
        <is>
          <t>You</t>
        </is>
      </c>
      <c r="J4" s="16" t="inlineStr">
        <is>
          <t>Yes</t>
        </is>
      </c>
      <c r="K4" s="16" t="inlineStr">
        <is>
          <t>Yes</t>
        </is>
      </c>
      <c r="L4" s="16" t="n"/>
      <c r="M4" s="16">
        <f>IFERROR(INDEX(CatGroupGrp,MATCH($D4,CatGroupCat,0)),"")</f>
        <v/>
      </c>
    </row>
    <row r="5">
      <c r="A5" s="20" t="inlineStr">
        <is>
          <t>2026-01-06</t>
        </is>
      </c>
      <c r="B5" s="16">
        <f>IF($A5="","",TEXT($A5,"MMMM"))</f>
        <v/>
      </c>
      <c r="C5" s="16" t="inlineStr">
        <is>
          <t>Expense</t>
        </is>
      </c>
      <c r="D5" s="16" t="inlineStr">
        <is>
          <t>Rent</t>
        </is>
      </c>
      <c r="E5" s="16" t="inlineStr">
        <is>
          <t>January rent</t>
        </is>
      </c>
      <c r="F5" s="16" t="inlineStr">
        <is>
          <t>Checking</t>
        </is>
      </c>
      <c r="G5" s="16" t="inlineStr">
        <is>
          <t>Direct Debit</t>
        </is>
      </c>
      <c r="H5" s="21" t="n">
        <v>1300</v>
      </c>
      <c r="I5" s="16" t="inlineStr">
        <is>
          <t>You</t>
        </is>
      </c>
      <c r="J5" s="16" t="inlineStr">
        <is>
          <t>Yes</t>
        </is>
      </c>
      <c r="K5" s="16" t="inlineStr">
        <is>
          <t>Yes</t>
        </is>
      </c>
      <c r="L5" s="16" t="n"/>
      <c r="M5" s="16">
        <f>IFERROR(INDEX(CatGroupGrp,MATCH($D5,CatGroupCat,0)),"")</f>
        <v/>
      </c>
    </row>
    <row r="6">
      <c r="A6" s="20" t="inlineStr">
        <is>
          <t>2026-01-07</t>
        </is>
      </c>
      <c r="B6" s="16">
        <f>IF($A6="","",TEXT($A6,"MMMM"))</f>
        <v/>
      </c>
      <c r="C6" s="16" t="inlineStr">
        <is>
          <t>Expense</t>
        </is>
      </c>
      <c r="D6" s="16" t="inlineStr">
        <is>
          <t>Groceries</t>
        </is>
      </c>
      <c r="E6" s="16" t="inlineStr">
        <is>
          <t>Weekly shop</t>
        </is>
      </c>
      <c r="F6" s="16" t="inlineStr">
        <is>
          <t>Credit Card</t>
        </is>
      </c>
      <c r="G6" s="16" t="inlineStr">
        <is>
          <t>Card</t>
        </is>
      </c>
      <c r="H6" s="21" t="n">
        <v>180</v>
      </c>
      <c r="I6" s="16" t="inlineStr">
        <is>
          <t>You</t>
        </is>
      </c>
      <c r="J6" s="16" t="inlineStr">
        <is>
          <t>No</t>
        </is>
      </c>
      <c r="K6" s="16" t="inlineStr">
        <is>
          <t>Yes</t>
        </is>
      </c>
      <c r="L6" s="16" t="n"/>
      <c r="M6" s="16">
        <f>IFERROR(INDEX(CatGroupGrp,MATCH($D6,CatGroupCat,0)),"")</f>
        <v/>
      </c>
    </row>
    <row r="7">
      <c r="A7" s="20" t="inlineStr">
        <is>
          <t>2026-01-09</t>
        </is>
      </c>
      <c r="B7" s="16">
        <f>IF($A7="","",TEXT($A7,"MMMM"))</f>
        <v/>
      </c>
      <c r="C7" s="16" t="inlineStr">
        <is>
          <t>Expense</t>
        </is>
      </c>
      <c r="D7" s="16" t="inlineStr">
        <is>
          <t>Utilities</t>
        </is>
      </c>
      <c r="E7" s="16" t="inlineStr">
        <is>
          <t>Electric + water</t>
        </is>
      </c>
      <c r="F7" s="16" t="inlineStr">
        <is>
          <t>Checking</t>
        </is>
      </c>
      <c r="G7" s="16" t="inlineStr">
        <is>
          <t>Direct Debit</t>
        </is>
      </c>
      <c r="H7" s="21" t="n">
        <v>160</v>
      </c>
      <c r="I7" s="16" t="inlineStr">
        <is>
          <t>You</t>
        </is>
      </c>
      <c r="J7" s="16" t="inlineStr">
        <is>
          <t>Yes</t>
        </is>
      </c>
      <c r="K7" s="16" t="inlineStr">
        <is>
          <t>Yes</t>
        </is>
      </c>
      <c r="L7" s="16" t="n"/>
      <c r="M7" s="16">
        <f>IFERROR(INDEX(CatGroupGrp,MATCH($D7,CatGroupCat,0)),"")</f>
        <v/>
      </c>
    </row>
    <row r="8">
      <c r="A8" s="20" t="inlineStr">
        <is>
          <t>2026-01-12</t>
        </is>
      </c>
      <c r="B8" s="16">
        <f>IF($A8="","",TEXT($A8,"MMMM"))</f>
        <v/>
      </c>
      <c r="C8" s="16" t="inlineStr">
        <is>
          <t>Expense</t>
        </is>
      </c>
      <c r="D8" s="16" t="inlineStr">
        <is>
          <t>Dining</t>
        </is>
      </c>
      <c r="E8" s="16" t="inlineStr">
        <is>
          <t>Dinner out</t>
        </is>
      </c>
      <c r="F8" s="16" t="inlineStr">
        <is>
          <t>Credit Card</t>
        </is>
      </c>
      <c r="G8" s="16" t="inlineStr">
        <is>
          <t>Card</t>
        </is>
      </c>
      <c r="H8" s="21" t="n">
        <v>75</v>
      </c>
      <c r="I8" s="16" t="inlineStr">
        <is>
          <t>You</t>
        </is>
      </c>
      <c r="J8" s="16" t="inlineStr">
        <is>
          <t>No</t>
        </is>
      </c>
      <c r="K8" s="16" t="inlineStr">
        <is>
          <t>Yes</t>
        </is>
      </c>
      <c r="L8" s="16" t="n"/>
      <c r="M8" s="16">
        <f>IFERROR(INDEX(CatGroupGrp,MATCH($D8,CatGroupCat,0)),"")</f>
        <v/>
      </c>
    </row>
    <row r="9">
      <c r="A9" s="20" t="inlineStr">
        <is>
          <t>2026-01-15</t>
        </is>
      </c>
      <c r="B9" s="16">
        <f>IF($A9="","",TEXT($A9,"MMMM"))</f>
        <v/>
      </c>
      <c r="C9" s="16" t="inlineStr">
        <is>
          <t>Expense</t>
        </is>
      </c>
      <c r="D9" s="16" t="inlineStr">
        <is>
          <t>Transport</t>
        </is>
      </c>
      <c r="E9" s="16" t="inlineStr">
        <is>
          <t>Fuel + transit</t>
        </is>
      </c>
      <c r="F9" s="16" t="inlineStr">
        <is>
          <t>Credit Card</t>
        </is>
      </c>
      <c r="G9" s="16" t="inlineStr">
        <is>
          <t>Card</t>
        </is>
      </c>
      <c r="H9" s="21" t="n">
        <v>120</v>
      </c>
      <c r="I9" s="16" t="inlineStr">
        <is>
          <t>You</t>
        </is>
      </c>
      <c r="J9" s="16" t="inlineStr">
        <is>
          <t>No</t>
        </is>
      </c>
      <c r="K9" s="16" t="inlineStr">
        <is>
          <t>Yes</t>
        </is>
      </c>
      <c r="L9" s="16" t="n"/>
      <c r="M9" s="16">
        <f>IFERROR(INDEX(CatGroupGrp,MATCH($D9,CatGroupCat,0)),"")</f>
        <v/>
      </c>
    </row>
    <row r="10">
      <c r="A10" s="20" t="inlineStr">
        <is>
          <t>2026-01-18</t>
        </is>
      </c>
      <c r="B10" s="16">
        <f>IF($A10="","",TEXT($A10,"MMMM"))</f>
        <v/>
      </c>
      <c r="C10" s="16" t="inlineStr">
        <is>
          <t>Expense</t>
        </is>
      </c>
      <c r="D10" s="16" t="inlineStr">
        <is>
          <t>Subscriptions</t>
        </is>
      </c>
      <c r="E10" s="16" t="inlineStr">
        <is>
          <t>Streaming + cloud</t>
        </is>
      </c>
      <c r="F10" s="16" t="inlineStr">
        <is>
          <t>Credit Card</t>
        </is>
      </c>
      <c r="G10" s="16" t="inlineStr">
        <is>
          <t>Card</t>
        </is>
      </c>
      <c r="H10" s="21" t="n">
        <v>45</v>
      </c>
      <c r="I10" s="16" t="inlineStr">
        <is>
          <t>You</t>
        </is>
      </c>
      <c r="J10" s="16" t="inlineStr">
        <is>
          <t>Yes</t>
        </is>
      </c>
      <c r="K10" s="16" t="inlineStr">
        <is>
          <t>Yes</t>
        </is>
      </c>
      <c r="L10" s="16" t="n"/>
      <c r="M10" s="16">
        <f>IFERROR(INDEX(CatGroupGrp,MATCH($D10,CatGroupCat,0)),"")</f>
        <v/>
      </c>
    </row>
    <row r="11">
      <c r="A11" s="20" t="inlineStr">
        <is>
          <t>2026-01-20</t>
        </is>
      </c>
      <c r="B11" s="16">
        <f>IF($A11="","",TEXT($A11,"MMMM"))</f>
        <v/>
      </c>
      <c r="C11" s="16" t="inlineStr">
        <is>
          <t>Expense</t>
        </is>
      </c>
      <c r="D11" s="16" t="inlineStr">
        <is>
          <t>Savings</t>
        </is>
      </c>
      <c r="E11" s="16" t="inlineStr">
        <is>
          <t>Emergency fund</t>
        </is>
      </c>
      <c r="F11" s="16" t="inlineStr">
        <is>
          <t>Savings</t>
        </is>
      </c>
      <c r="G11" s="16" t="inlineStr">
        <is>
          <t>Bank Transfer</t>
        </is>
      </c>
      <c r="H11" s="21" t="n">
        <v>400</v>
      </c>
      <c r="I11" s="16" t="inlineStr">
        <is>
          <t>You</t>
        </is>
      </c>
      <c r="J11" s="16" t="inlineStr">
        <is>
          <t>Yes</t>
        </is>
      </c>
      <c r="K11" s="16" t="inlineStr">
        <is>
          <t>Yes</t>
        </is>
      </c>
      <c r="L11" s="16" t="n"/>
      <c r="M11" s="16">
        <f>IFERROR(INDEX(CatGroupGrp,MATCH($D11,CatGroupCat,0)),"")</f>
        <v/>
      </c>
    </row>
    <row r="12">
      <c r="A12" s="20" t="inlineStr">
        <is>
          <t>2026-01-22</t>
        </is>
      </c>
      <c r="B12" s="16">
        <f>IF($A12="","",TEXT($A12,"MMMM"))</f>
        <v/>
      </c>
      <c r="C12" s="16" t="inlineStr">
        <is>
          <t>Expense</t>
        </is>
      </c>
      <c r="D12" s="16" t="inlineStr">
        <is>
          <t>Groceries</t>
        </is>
      </c>
      <c r="E12" s="16" t="inlineStr">
        <is>
          <t>Weekly shop</t>
        </is>
      </c>
      <c r="F12" s="16" t="inlineStr">
        <is>
          <t>Credit Card</t>
        </is>
      </c>
      <c r="G12" s="16" t="inlineStr">
        <is>
          <t>Card</t>
        </is>
      </c>
      <c r="H12" s="21" t="n">
        <v>165</v>
      </c>
      <c r="I12" s="16" t="inlineStr">
        <is>
          <t>You</t>
        </is>
      </c>
      <c r="J12" s="16" t="inlineStr">
        <is>
          <t>No</t>
        </is>
      </c>
      <c r="K12" s="16" t="inlineStr">
        <is>
          <t>No</t>
        </is>
      </c>
      <c r="L12" s="16" t="n"/>
      <c r="M12" s="16">
        <f>IFERROR(INDEX(CatGroupGrp,MATCH($D12,CatGroupCat,0)),"")</f>
        <v/>
      </c>
    </row>
    <row r="13">
      <c r="A13" s="20" t="inlineStr">
        <is>
          <t>2026-01-25</t>
        </is>
      </c>
      <c r="B13" s="16">
        <f>IF($A13="","",TEXT($A13,"MMMM"))</f>
        <v/>
      </c>
      <c r="C13" s="16" t="inlineStr">
        <is>
          <t>Income</t>
        </is>
      </c>
      <c r="D13" s="16" t="inlineStr">
        <is>
          <t>Freelance</t>
        </is>
      </c>
      <c r="E13" s="16" t="inlineStr">
        <is>
          <t>Side project</t>
        </is>
      </c>
      <c r="F13" s="16" t="inlineStr">
        <is>
          <t>Checking</t>
        </is>
      </c>
      <c r="G13" s="16" t="inlineStr">
        <is>
          <t>Bank Transfer</t>
        </is>
      </c>
      <c r="H13" s="21" t="n">
        <v>650</v>
      </c>
      <c r="I13" s="16" t="inlineStr">
        <is>
          <t>You</t>
        </is>
      </c>
      <c r="J13" s="16" t="inlineStr">
        <is>
          <t>No</t>
        </is>
      </c>
      <c r="K13" s="16" t="inlineStr">
        <is>
          <t>Yes</t>
        </is>
      </c>
      <c r="L13" s="16" t="n"/>
      <c r="M13" s="16">
        <f>IFERROR(INDEX(CatGroupGrp,MATCH($D13,CatGroupCat,0)),"")</f>
        <v/>
      </c>
    </row>
    <row r="14">
      <c r="A14" s="20" t="inlineStr">
        <is>
          <t>2026-01-26</t>
        </is>
      </c>
      <c r="B14" s="16">
        <f>IF($A14="","",TEXT($A14,"MMMM"))</f>
        <v/>
      </c>
      <c r="C14" s="16" t="inlineStr">
        <is>
          <t>Expense</t>
        </is>
      </c>
      <c r="D14" s="16" t="inlineStr">
        <is>
          <t>Health</t>
        </is>
      </c>
      <c r="E14" s="16" t="inlineStr">
        <is>
          <t>Pharmacy</t>
        </is>
      </c>
      <c r="F14" s="16" t="inlineStr">
        <is>
          <t>Cash</t>
        </is>
      </c>
      <c r="G14" s="16" t="inlineStr">
        <is>
          <t>Cash</t>
        </is>
      </c>
      <c r="H14" s="21" t="n">
        <v>40</v>
      </c>
      <c r="I14" s="16" t="inlineStr">
        <is>
          <t>You</t>
        </is>
      </c>
      <c r="J14" s="16" t="inlineStr">
        <is>
          <t>No</t>
        </is>
      </c>
      <c r="K14" s="16" t="inlineStr">
        <is>
          <t>Yes</t>
        </is>
      </c>
      <c r="L14" s="16" t="n"/>
      <c r="M14" s="16">
        <f>IFERROR(INDEX(CatGroupGrp,MATCH($D14,CatGroupCat,0)),"")</f>
        <v/>
      </c>
    </row>
    <row r="15">
      <c r="A15" s="20" t="inlineStr">
        <is>
          <t>2026-01-28</t>
        </is>
      </c>
      <c r="B15" s="16">
        <f>IF($A15="","",TEXT($A15,"MMMM"))</f>
        <v/>
      </c>
      <c r="C15" s="16" t="inlineStr">
        <is>
          <t>Expense</t>
        </is>
      </c>
      <c r="D15" s="16" t="inlineStr">
        <is>
          <t>Debt Payment</t>
        </is>
      </c>
      <c r="E15" s="16" t="inlineStr">
        <is>
          <t>Credit card paydown</t>
        </is>
      </c>
      <c r="F15" s="16" t="inlineStr">
        <is>
          <t>Credit Card</t>
        </is>
      </c>
      <c r="G15" s="16" t="inlineStr">
        <is>
          <t>Bank Transfer</t>
        </is>
      </c>
      <c r="H15" s="21" t="n">
        <v>300</v>
      </c>
      <c r="I15" s="16" t="inlineStr">
        <is>
          <t>You</t>
        </is>
      </c>
      <c r="J15" s="16" t="inlineStr">
        <is>
          <t>Yes</t>
        </is>
      </c>
      <c r="K15" s="16" t="inlineStr">
        <is>
          <t>Yes</t>
        </is>
      </c>
      <c r="L15" s="16" t="n"/>
      <c r="M15" s="16">
        <f>IFERROR(INDEX(CatGroupGrp,MATCH($D15,CatGroupCat,0)),"")</f>
        <v/>
      </c>
    </row>
    <row r="16">
      <c r="A16" s="20" t="inlineStr">
        <is>
          <t>2026-02-05</t>
        </is>
      </c>
      <c r="B16" s="16">
        <f>IF($A16="","",TEXT($A16,"MMMM"))</f>
        <v/>
      </c>
      <c r="C16" s="16" t="inlineStr">
        <is>
          <t>Income</t>
        </is>
      </c>
      <c r="D16" s="16" t="inlineStr">
        <is>
          <t>Salary</t>
        </is>
      </c>
      <c r="E16" s="16" t="inlineStr">
        <is>
          <t>Monthly salary</t>
        </is>
      </c>
      <c r="F16" s="16" t="inlineStr">
        <is>
          <t>Checking</t>
        </is>
      </c>
      <c r="G16" s="16" t="inlineStr">
        <is>
          <t>Bank Transfer</t>
        </is>
      </c>
      <c r="H16" s="21" t="n">
        <v>4200</v>
      </c>
      <c r="I16" s="16" t="inlineStr">
        <is>
          <t>You</t>
        </is>
      </c>
      <c r="J16" s="16" t="inlineStr">
        <is>
          <t>Yes</t>
        </is>
      </c>
      <c r="K16" s="16" t="inlineStr">
        <is>
          <t>Yes</t>
        </is>
      </c>
      <c r="L16" s="16" t="n"/>
      <c r="M16" s="16">
        <f>IFERROR(INDEX(CatGroupGrp,MATCH($D16,CatGroupCat,0)),"")</f>
        <v/>
      </c>
    </row>
    <row r="17">
      <c r="A17" s="20" t="inlineStr">
        <is>
          <t>2026-02-06</t>
        </is>
      </c>
      <c r="B17" s="16">
        <f>IF($A17="","",TEXT($A17,"MMMM"))</f>
        <v/>
      </c>
      <c r="C17" s="16" t="inlineStr">
        <is>
          <t>Expense</t>
        </is>
      </c>
      <c r="D17" s="16" t="inlineStr">
        <is>
          <t>Rent</t>
        </is>
      </c>
      <c r="E17" s="16" t="inlineStr">
        <is>
          <t>February rent</t>
        </is>
      </c>
      <c r="F17" s="16" t="inlineStr">
        <is>
          <t>Checking</t>
        </is>
      </c>
      <c r="G17" s="16" t="inlineStr">
        <is>
          <t>Direct Debit</t>
        </is>
      </c>
      <c r="H17" s="21" t="n">
        <v>1300</v>
      </c>
      <c r="I17" s="16" t="inlineStr">
        <is>
          <t>You</t>
        </is>
      </c>
      <c r="J17" s="16" t="inlineStr">
        <is>
          <t>Yes</t>
        </is>
      </c>
      <c r="K17" s="16" t="inlineStr">
        <is>
          <t>Yes</t>
        </is>
      </c>
      <c r="L17" s="16" t="n"/>
      <c r="M17" s="16">
        <f>IFERROR(INDEX(CatGroupGrp,MATCH($D17,CatGroupCat,0)),"")</f>
        <v/>
      </c>
    </row>
    <row r="18">
      <c r="A18" s="20" t="inlineStr">
        <is>
          <t>2026-02-10</t>
        </is>
      </c>
      <c r="B18" s="16">
        <f>IF($A18="","",TEXT($A18,"MMMM"))</f>
        <v/>
      </c>
      <c r="C18" s="16" t="inlineStr">
        <is>
          <t>Expense</t>
        </is>
      </c>
      <c r="D18" s="16" t="inlineStr">
        <is>
          <t>Groceries</t>
        </is>
      </c>
      <c r="E18" s="16" t="inlineStr">
        <is>
          <t>Weekly shop</t>
        </is>
      </c>
      <c r="F18" s="16" t="inlineStr">
        <is>
          <t>Credit Card</t>
        </is>
      </c>
      <c r="G18" s="16" t="inlineStr">
        <is>
          <t>Card</t>
        </is>
      </c>
      <c r="H18" s="21" t="n">
        <v>195</v>
      </c>
      <c r="I18" s="16" t="inlineStr">
        <is>
          <t>You</t>
        </is>
      </c>
      <c r="J18" s="16" t="inlineStr">
        <is>
          <t>No</t>
        </is>
      </c>
      <c r="K18" s="16" t="inlineStr">
        <is>
          <t>Yes</t>
        </is>
      </c>
      <c r="L18" s="16" t="n"/>
      <c r="M18" s="16">
        <f>IFERROR(INDEX(CatGroupGrp,MATCH($D18,CatGroupCat,0)),"")</f>
        <v/>
      </c>
    </row>
    <row r="19">
      <c r="A19" s="20" t="inlineStr">
        <is>
          <t>2026-02-14</t>
        </is>
      </c>
      <c r="B19" s="16">
        <f>IF($A19="","",TEXT($A19,"MMMM"))</f>
        <v/>
      </c>
      <c r="C19" s="16" t="inlineStr">
        <is>
          <t>Expense</t>
        </is>
      </c>
      <c r="D19" s="16" t="inlineStr">
        <is>
          <t>Entertainment</t>
        </is>
      </c>
      <c r="E19" s="16" t="inlineStr">
        <is>
          <t>Concert</t>
        </is>
      </c>
      <c r="F19" s="16" t="inlineStr">
        <is>
          <t>Credit Card</t>
        </is>
      </c>
      <c r="G19" s="16" t="inlineStr">
        <is>
          <t>Card</t>
        </is>
      </c>
      <c r="H19" s="21" t="n">
        <v>110</v>
      </c>
      <c r="I19" s="16" t="inlineStr">
        <is>
          <t>You</t>
        </is>
      </c>
      <c r="J19" s="16" t="inlineStr">
        <is>
          <t>No</t>
        </is>
      </c>
      <c r="K19" s="16" t="inlineStr">
        <is>
          <t>Yes</t>
        </is>
      </c>
      <c r="L19" s="16" t="n"/>
      <c r="M19" s="16">
        <f>IFERROR(INDEX(CatGroupGrp,MATCH($D19,CatGroupCat,0)),"")</f>
        <v/>
      </c>
    </row>
    <row r="20">
      <c r="A20" s="20" t="inlineStr">
        <is>
          <t>2026-02-20</t>
        </is>
      </c>
      <c r="B20" s="16">
        <f>IF($A20="","",TEXT($A20,"MMMM"))</f>
        <v/>
      </c>
      <c r="C20" s="16" t="inlineStr">
        <is>
          <t>Expense</t>
        </is>
      </c>
      <c r="D20" s="16" t="inlineStr">
        <is>
          <t>Savings</t>
        </is>
      </c>
      <c r="E20" s="16" t="inlineStr">
        <is>
          <t>Emergency fund</t>
        </is>
      </c>
      <c r="F20" s="16" t="inlineStr">
        <is>
          <t>Savings</t>
        </is>
      </c>
      <c r="G20" s="16" t="inlineStr">
        <is>
          <t>Bank Transfer</t>
        </is>
      </c>
      <c r="H20" s="21" t="n">
        <v>400</v>
      </c>
      <c r="I20" s="16" t="inlineStr">
        <is>
          <t>You</t>
        </is>
      </c>
      <c r="J20" s="16" t="inlineStr">
        <is>
          <t>Yes</t>
        </is>
      </c>
      <c r="K20" s="16" t="inlineStr">
        <is>
          <t>Yes</t>
        </is>
      </c>
      <c r="L20" s="16" t="n"/>
      <c r="M20" s="16">
        <f>IFERROR(INDEX(CatGroupGrp,MATCH($D20,CatGroupCat,0)),"")</f>
        <v/>
      </c>
    </row>
    <row r="21">
      <c r="A21" s="20" t="n"/>
      <c r="B21" s="16">
        <f>IF($A21="","",TEXT($A21,"MMMM"))</f>
        <v/>
      </c>
      <c r="C21" s="16" t="n"/>
      <c r="D21" s="16" t="n"/>
      <c r="E21" s="16" t="n"/>
      <c r="F21" s="16" t="n"/>
      <c r="G21" s="16" t="n"/>
      <c r="H21" s="21" t="n"/>
      <c r="I21" s="16" t="n"/>
      <c r="J21" s="16" t="n"/>
      <c r="K21" s="16" t="n"/>
      <c r="L21" s="16" t="n"/>
      <c r="M21" s="16">
        <f>IFERROR(INDEX(CatGroupGrp,MATCH($D21,CatGroupCat,0)),"")</f>
        <v/>
      </c>
    </row>
    <row r="22">
      <c r="A22" s="20" t="n"/>
      <c r="B22" s="16">
        <f>IF($A22="","",TEXT($A22,"MMMM"))</f>
        <v/>
      </c>
      <c r="C22" s="16" t="n"/>
      <c r="D22" s="16" t="n"/>
      <c r="E22" s="16" t="n"/>
      <c r="F22" s="16" t="n"/>
      <c r="G22" s="16" t="n"/>
      <c r="H22" s="21" t="n"/>
      <c r="I22" s="16" t="n"/>
      <c r="J22" s="16" t="n"/>
      <c r="K22" s="16" t="n"/>
      <c r="L22" s="16" t="n"/>
      <c r="M22" s="16">
        <f>IFERROR(INDEX(CatGroupGrp,MATCH($D22,CatGroupCat,0)),"")</f>
        <v/>
      </c>
    </row>
    <row r="23">
      <c r="A23" s="20" t="n"/>
      <c r="B23" s="16">
        <f>IF($A23="","",TEXT($A23,"MMMM"))</f>
        <v/>
      </c>
      <c r="C23" s="16" t="n"/>
      <c r="D23" s="16" t="n"/>
      <c r="E23" s="16" t="n"/>
      <c r="F23" s="16" t="n"/>
      <c r="G23" s="16" t="n"/>
      <c r="H23" s="21" t="n"/>
      <c r="I23" s="16" t="n"/>
      <c r="J23" s="16" t="n"/>
      <c r="K23" s="16" t="n"/>
      <c r="L23" s="16" t="n"/>
      <c r="M23" s="16">
        <f>IFERROR(INDEX(CatGroupGrp,MATCH($D23,CatGroupCat,0)),"")</f>
        <v/>
      </c>
    </row>
    <row r="24">
      <c r="A24" s="20" t="n"/>
      <c r="B24" s="16">
        <f>IF($A24="","",TEXT($A24,"MMMM"))</f>
        <v/>
      </c>
      <c r="C24" s="16" t="n"/>
      <c r="D24" s="16" t="n"/>
      <c r="E24" s="16" t="n"/>
      <c r="F24" s="16" t="n"/>
      <c r="G24" s="16" t="n"/>
      <c r="H24" s="21" t="n"/>
      <c r="I24" s="16" t="n"/>
      <c r="J24" s="16" t="n"/>
      <c r="K24" s="16" t="n"/>
      <c r="L24" s="16" t="n"/>
      <c r="M24" s="16">
        <f>IFERROR(INDEX(CatGroupGrp,MATCH($D24,CatGroupCat,0)),"")</f>
        <v/>
      </c>
    </row>
    <row r="25">
      <c r="A25" s="20" t="n"/>
      <c r="B25" s="16">
        <f>IF($A25="","",TEXT($A25,"MMMM"))</f>
        <v/>
      </c>
      <c r="C25" s="16" t="n"/>
      <c r="D25" s="16" t="n"/>
      <c r="E25" s="16" t="n"/>
      <c r="F25" s="16" t="n"/>
      <c r="G25" s="16" t="n"/>
      <c r="H25" s="21" t="n"/>
      <c r="I25" s="16" t="n"/>
      <c r="J25" s="16" t="n"/>
      <c r="K25" s="16" t="n"/>
      <c r="L25" s="16" t="n"/>
      <c r="M25" s="16">
        <f>IFERROR(INDEX(CatGroupGrp,MATCH($D25,CatGroupCat,0)),"")</f>
        <v/>
      </c>
    </row>
    <row r="26">
      <c r="A26" s="20" t="n"/>
      <c r="B26" s="16">
        <f>IF($A26="","",TEXT($A26,"MMMM"))</f>
        <v/>
      </c>
      <c r="C26" s="16" t="n"/>
      <c r="D26" s="16" t="n"/>
      <c r="E26" s="16" t="n"/>
      <c r="F26" s="16" t="n"/>
      <c r="G26" s="16" t="n"/>
      <c r="H26" s="21" t="n"/>
      <c r="I26" s="16" t="n"/>
      <c r="J26" s="16" t="n"/>
      <c r="K26" s="16" t="n"/>
      <c r="L26" s="16" t="n"/>
      <c r="M26" s="16">
        <f>IFERROR(INDEX(CatGroupGrp,MATCH($D26,CatGroupCat,0)),"")</f>
        <v/>
      </c>
    </row>
    <row r="27">
      <c r="A27" s="20" t="n"/>
      <c r="B27" s="16">
        <f>IF($A27="","",TEXT($A27,"MMMM"))</f>
        <v/>
      </c>
      <c r="C27" s="16" t="n"/>
      <c r="D27" s="16" t="n"/>
      <c r="E27" s="16" t="n"/>
      <c r="F27" s="16" t="n"/>
      <c r="G27" s="16" t="n"/>
      <c r="H27" s="21" t="n"/>
      <c r="I27" s="16" t="n"/>
      <c r="J27" s="16" t="n"/>
      <c r="K27" s="16" t="n"/>
      <c r="L27" s="16" t="n"/>
      <c r="M27" s="16">
        <f>IFERROR(INDEX(CatGroupGrp,MATCH($D27,CatGroupCat,0)),"")</f>
        <v/>
      </c>
    </row>
    <row r="28">
      <c r="A28" s="20" t="n"/>
      <c r="B28" s="16">
        <f>IF($A28="","",TEXT($A28,"MMMM"))</f>
        <v/>
      </c>
      <c r="C28" s="16" t="n"/>
      <c r="D28" s="16" t="n"/>
      <c r="E28" s="16" t="n"/>
      <c r="F28" s="16" t="n"/>
      <c r="G28" s="16" t="n"/>
      <c r="H28" s="21" t="n"/>
      <c r="I28" s="16" t="n"/>
      <c r="J28" s="16" t="n"/>
      <c r="K28" s="16" t="n"/>
      <c r="L28" s="16" t="n"/>
      <c r="M28" s="16">
        <f>IFERROR(INDEX(CatGroupGrp,MATCH($D28,CatGroupCat,0)),"")</f>
        <v/>
      </c>
    </row>
    <row r="29">
      <c r="A29" s="20" t="n"/>
      <c r="B29" s="16">
        <f>IF($A29="","",TEXT($A29,"MMMM"))</f>
        <v/>
      </c>
      <c r="C29" s="16" t="n"/>
      <c r="D29" s="16" t="n"/>
      <c r="E29" s="16" t="n"/>
      <c r="F29" s="16" t="n"/>
      <c r="G29" s="16" t="n"/>
      <c r="H29" s="21" t="n"/>
      <c r="I29" s="16" t="n"/>
      <c r="J29" s="16" t="n"/>
      <c r="K29" s="16" t="n"/>
      <c r="L29" s="16" t="n"/>
      <c r="M29" s="16">
        <f>IFERROR(INDEX(CatGroupGrp,MATCH($D29,CatGroupCat,0)),"")</f>
        <v/>
      </c>
    </row>
    <row r="30">
      <c r="A30" s="20" t="n"/>
      <c r="B30" s="16">
        <f>IF($A30="","",TEXT($A30,"MMMM"))</f>
        <v/>
      </c>
      <c r="C30" s="16" t="n"/>
      <c r="D30" s="16" t="n"/>
      <c r="E30" s="16" t="n"/>
      <c r="F30" s="16" t="n"/>
      <c r="G30" s="16" t="n"/>
      <c r="H30" s="21" t="n"/>
      <c r="I30" s="16" t="n"/>
      <c r="J30" s="16" t="n"/>
      <c r="K30" s="16" t="n"/>
      <c r="L30" s="16" t="n"/>
      <c r="M30" s="16">
        <f>IFERROR(INDEX(CatGroupGrp,MATCH($D30,CatGroupCat,0)),"")</f>
        <v/>
      </c>
    </row>
    <row r="31">
      <c r="A31" s="20" t="n"/>
      <c r="B31" s="16">
        <f>IF($A31="","",TEXT($A31,"MMMM"))</f>
        <v/>
      </c>
      <c r="C31" s="16" t="n"/>
      <c r="D31" s="16" t="n"/>
      <c r="E31" s="16" t="n"/>
      <c r="F31" s="16" t="n"/>
      <c r="G31" s="16" t="n"/>
      <c r="H31" s="21" t="n"/>
      <c r="I31" s="16" t="n"/>
      <c r="J31" s="16" t="n"/>
      <c r="K31" s="16" t="n"/>
      <c r="L31" s="16" t="n"/>
      <c r="M31" s="16">
        <f>IFERROR(INDEX(CatGroupGrp,MATCH($D31,CatGroupCat,0)),"")</f>
        <v/>
      </c>
    </row>
    <row r="32">
      <c r="A32" s="20" t="n"/>
      <c r="B32" s="16">
        <f>IF($A32="","",TEXT($A32,"MMMM"))</f>
        <v/>
      </c>
      <c r="C32" s="16" t="n"/>
      <c r="D32" s="16" t="n"/>
      <c r="E32" s="16" t="n"/>
      <c r="F32" s="16" t="n"/>
      <c r="G32" s="16" t="n"/>
      <c r="H32" s="21" t="n"/>
      <c r="I32" s="16" t="n"/>
      <c r="J32" s="16" t="n"/>
      <c r="K32" s="16" t="n"/>
      <c r="L32" s="16" t="n"/>
      <c r="M32" s="16">
        <f>IFERROR(INDEX(CatGroupGrp,MATCH($D32,CatGroupCat,0)),"")</f>
        <v/>
      </c>
    </row>
    <row r="33">
      <c r="A33" s="20" t="n"/>
      <c r="B33" s="16">
        <f>IF($A33="","",TEXT($A33,"MMMM"))</f>
        <v/>
      </c>
      <c r="C33" s="16" t="n"/>
      <c r="D33" s="16" t="n"/>
      <c r="E33" s="16" t="n"/>
      <c r="F33" s="16" t="n"/>
      <c r="G33" s="16" t="n"/>
      <c r="H33" s="21" t="n"/>
      <c r="I33" s="16" t="n"/>
      <c r="J33" s="16" t="n"/>
      <c r="K33" s="16" t="n"/>
      <c r="L33" s="16" t="n"/>
      <c r="M33" s="16">
        <f>IFERROR(INDEX(CatGroupGrp,MATCH($D33,CatGroupCat,0)),"")</f>
        <v/>
      </c>
    </row>
    <row r="34">
      <c r="A34" s="20" t="n"/>
      <c r="B34" s="16">
        <f>IF($A34="","",TEXT($A34,"MMMM"))</f>
        <v/>
      </c>
      <c r="C34" s="16" t="n"/>
      <c r="D34" s="16" t="n"/>
      <c r="E34" s="16" t="n"/>
      <c r="F34" s="16" t="n"/>
      <c r="G34" s="16" t="n"/>
      <c r="H34" s="21" t="n"/>
      <c r="I34" s="16" t="n"/>
      <c r="J34" s="16" t="n"/>
      <c r="K34" s="16" t="n"/>
      <c r="L34" s="16" t="n"/>
      <c r="M34" s="16">
        <f>IFERROR(INDEX(CatGroupGrp,MATCH($D34,CatGroupCat,0)),"")</f>
        <v/>
      </c>
    </row>
    <row r="35">
      <c r="A35" s="20" t="n"/>
      <c r="B35" s="16">
        <f>IF($A35="","",TEXT($A35,"MMMM"))</f>
        <v/>
      </c>
      <c r="C35" s="16" t="n"/>
      <c r="D35" s="16" t="n"/>
      <c r="E35" s="16" t="n"/>
      <c r="F35" s="16" t="n"/>
      <c r="G35" s="16" t="n"/>
      <c r="H35" s="21" t="n"/>
      <c r="I35" s="16" t="n"/>
      <c r="J35" s="16" t="n"/>
      <c r="K35" s="16" t="n"/>
      <c r="L35" s="16" t="n"/>
      <c r="M35" s="16">
        <f>IFERROR(INDEX(CatGroupGrp,MATCH($D35,CatGroupCat,0)),"")</f>
        <v/>
      </c>
    </row>
    <row r="36">
      <c r="A36" s="20" t="n"/>
      <c r="B36" s="16">
        <f>IF($A36="","",TEXT($A36,"MMMM"))</f>
        <v/>
      </c>
      <c r="C36" s="16" t="n"/>
      <c r="D36" s="16" t="n"/>
      <c r="E36" s="16" t="n"/>
      <c r="F36" s="16" t="n"/>
      <c r="G36" s="16" t="n"/>
      <c r="H36" s="21" t="n"/>
      <c r="I36" s="16" t="n"/>
      <c r="J36" s="16" t="n"/>
      <c r="K36" s="16" t="n"/>
      <c r="L36" s="16" t="n"/>
      <c r="M36" s="16">
        <f>IFERROR(INDEX(CatGroupGrp,MATCH($D36,CatGroupCat,0)),"")</f>
        <v/>
      </c>
    </row>
    <row r="37">
      <c r="A37" s="20" t="n"/>
      <c r="B37" s="16">
        <f>IF($A37="","",TEXT($A37,"MMMM"))</f>
        <v/>
      </c>
      <c r="C37" s="16" t="n"/>
      <c r="D37" s="16" t="n"/>
      <c r="E37" s="16" t="n"/>
      <c r="F37" s="16" t="n"/>
      <c r="G37" s="16" t="n"/>
      <c r="H37" s="21" t="n"/>
      <c r="I37" s="16" t="n"/>
      <c r="J37" s="16" t="n"/>
      <c r="K37" s="16" t="n"/>
      <c r="L37" s="16" t="n"/>
      <c r="M37" s="16">
        <f>IFERROR(INDEX(CatGroupGrp,MATCH($D37,CatGroupCat,0)),"")</f>
        <v/>
      </c>
    </row>
    <row r="38">
      <c r="A38" s="20" t="n"/>
      <c r="B38" s="16">
        <f>IF($A38="","",TEXT($A38,"MMMM"))</f>
        <v/>
      </c>
      <c r="C38" s="16" t="n"/>
      <c r="D38" s="16" t="n"/>
      <c r="E38" s="16" t="n"/>
      <c r="F38" s="16" t="n"/>
      <c r="G38" s="16" t="n"/>
      <c r="H38" s="21" t="n"/>
      <c r="I38" s="16" t="n"/>
      <c r="J38" s="16" t="n"/>
      <c r="K38" s="16" t="n"/>
      <c r="L38" s="16" t="n"/>
      <c r="M38" s="16">
        <f>IFERROR(INDEX(CatGroupGrp,MATCH($D38,CatGroupCat,0)),"")</f>
        <v/>
      </c>
    </row>
    <row r="39">
      <c r="A39" s="20" t="n"/>
      <c r="B39" s="16">
        <f>IF($A39="","",TEXT($A39,"MMMM"))</f>
        <v/>
      </c>
      <c r="C39" s="16" t="n"/>
      <c r="D39" s="16" t="n"/>
      <c r="E39" s="16" t="n"/>
      <c r="F39" s="16" t="n"/>
      <c r="G39" s="16" t="n"/>
      <c r="H39" s="21" t="n"/>
      <c r="I39" s="16" t="n"/>
      <c r="J39" s="16" t="n"/>
      <c r="K39" s="16" t="n"/>
      <c r="L39" s="16" t="n"/>
      <c r="M39" s="16">
        <f>IFERROR(INDEX(CatGroupGrp,MATCH($D39,CatGroupCat,0)),"")</f>
        <v/>
      </c>
    </row>
    <row r="40">
      <c r="A40" s="20" t="n"/>
      <c r="B40" s="16">
        <f>IF($A40="","",TEXT($A40,"MMMM"))</f>
        <v/>
      </c>
      <c r="C40" s="16" t="n"/>
      <c r="D40" s="16" t="n"/>
      <c r="E40" s="16" t="n"/>
      <c r="F40" s="16" t="n"/>
      <c r="G40" s="16" t="n"/>
      <c r="H40" s="21" t="n"/>
      <c r="I40" s="16" t="n"/>
      <c r="J40" s="16" t="n"/>
      <c r="K40" s="16" t="n"/>
      <c r="L40" s="16" t="n"/>
      <c r="M40" s="16">
        <f>IFERROR(INDEX(CatGroupGrp,MATCH($D40,CatGroupCat,0)),"")</f>
        <v/>
      </c>
    </row>
    <row r="41">
      <c r="A41" s="20" t="n"/>
      <c r="B41" s="16">
        <f>IF($A41="","",TEXT($A41,"MMMM"))</f>
        <v/>
      </c>
      <c r="C41" s="16" t="n"/>
      <c r="D41" s="16" t="n"/>
      <c r="E41" s="16" t="n"/>
      <c r="F41" s="16" t="n"/>
      <c r="G41" s="16" t="n"/>
      <c r="H41" s="21" t="n"/>
      <c r="I41" s="16" t="n"/>
      <c r="J41" s="16" t="n"/>
      <c r="K41" s="16" t="n"/>
      <c r="L41" s="16" t="n"/>
      <c r="M41" s="16">
        <f>IFERROR(INDEX(CatGroupGrp,MATCH($D41,CatGroupCat,0)),"")</f>
        <v/>
      </c>
    </row>
    <row r="42">
      <c r="A42" s="20" t="n"/>
      <c r="B42" s="16">
        <f>IF($A42="","",TEXT($A42,"MMMM"))</f>
        <v/>
      </c>
      <c r="C42" s="16" t="n"/>
      <c r="D42" s="16" t="n"/>
      <c r="E42" s="16" t="n"/>
      <c r="F42" s="16" t="n"/>
      <c r="G42" s="16" t="n"/>
      <c r="H42" s="21" t="n"/>
      <c r="I42" s="16" t="n"/>
      <c r="J42" s="16" t="n"/>
      <c r="K42" s="16" t="n"/>
      <c r="L42" s="16" t="n"/>
      <c r="M42" s="16">
        <f>IFERROR(INDEX(CatGroupGrp,MATCH($D42,CatGroupCat,0)),"")</f>
        <v/>
      </c>
    </row>
    <row r="43">
      <c r="A43" s="20" t="n"/>
      <c r="B43" s="16">
        <f>IF($A43="","",TEXT($A43,"MMMM"))</f>
        <v/>
      </c>
      <c r="C43" s="16" t="n"/>
      <c r="D43" s="16" t="n"/>
      <c r="E43" s="16" t="n"/>
      <c r="F43" s="16" t="n"/>
      <c r="G43" s="16" t="n"/>
      <c r="H43" s="21" t="n"/>
      <c r="I43" s="16" t="n"/>
      <c r="J43" s="16" t="n"/>
      <c r="K43" s="16" t="n"/>
      <c r="L43" s="16" t="n"/>
      <c r="M43" s="16">
        <f>IFERROR(INDEX(CatGroupGrp,MATCH($D43,CatGroupCat,0)),"")</f>
        <v/>
      </c>
    </row>
    <row r="44">
      <c r="A44" s="20" t="n"/>
      <c r="B44" s="16">
        <f>IF($A44="","",TEXT($A44,"MMMM"))</f>
        <v/>
      </c>
      <c r="C44" s="16" t="n"/>
      <c r="D44" s="16" t="n"/>
      <c r="E44" s="16" t="n"/>
      <c r="F44" s="16" t="n"/>
      <c r="G44" s="16" t="n"/>
      <c r="H44" s="21" t="n"/>
      <c r="I44" s="16" t="n"/>
      <c r="J44" s="16" t="n"/>
      <c r="K44" s="16" t="n"/>
      <c r="L44" s="16" t="n"/>
      <c r="M44" s="16">
        <f>IFERROR(INDEX(CatGroupGrp,MATCH($D44,CatGroupCat,0)),"")</f>
        <v/>
      </c>
    </row>
    <row r="45">
      <c r="A45" s="20" t="n"/>
      <c r="B45" s="16">
        <f>IF($A45="","",TEXT($A45,"MMMM"))</f>
        <v/>
      </c>
      <c r="C45" s="16" t="n"/>
      <c r="D45" s="16" t="n"/>
      <c r="E45" s="16" t="n"/>
      <c r="F45" s="16" t="n"/>
      <c r="G45" s="16" t="n"/>
      <c r="H45" s="21" t="n"/>
      <c r="I45" s="16" t="n"/>
      <c r="J45" s="16" t="n"/>
      <c r="K45" s="16" t="n"/>
      <c r="L45" s="16" t="n"/>
      <c r="M45" s="16">
        <f>IFERROR(INDEX(CatGroupGrp,MATCH($D45,CatGroupCat,0)),"")</f>
        <v/>
      </c>
    </row>
    <row r="46">
      <c r="A46" s="20" t="n"/>
      <c r="B46" s="16">
        <f>IF($A46="","",TEXT($A46,"MMMM"))</f>
        <v/>
      </c>
      <c r="C46" s="16" t="n"/>
      <c r="D46" s="16" t="n"/>
      <c r="E46" s="16" t="n"/>
      <c r="F46" s="16" t="n"/>
      <c r="G46" s="16" t="n"/>
      <c r="H46" s="21" t="n"/>
      <c r="I46" s="16" t="n"/>
      <c r="J46" s="16" t="n"/>
      <c r="K46" s="16" t="n"/>
      <c r="L46" s="16" t="n"/>
      <c r="M46" s="16">
        <f>IFERROR(INDEX(CatGroupGrp,MATCH($D46,CatGroupCat,0)),"")</f>
        <v/>
      </c>
    </row>
    <row r="47">
      <c r="A47" s="20" t="n"/>
      <c r="B47" s="16">
        <f>IF($A47="","",TEXT($A47,"MMMM"))</f>
        <v/>
      </c>
      <c r="C47" s="16" t="n"/>
      <c r="D47" s="16" t="n"/>
      <c r="E47" s="16" t="n"/>
      <c r="F47" s="16" t="n"/>
      <c r="G47" s="16" t="n"/>
      <c r="H47" s="21" t="n"/>
      <c r="I47" s="16" t="n"/>
      <c r="J47" s="16" t="n"/>
      <c r="K47" s="16" t="n"/>
      <c r="L47" s="16" t="n"/>
      <c r="M47" s="16">
        <f>IFERROR(INDEX(CatGroupGrp,MATCH($D47,CatGroupCat,0)),"")</f>
        <v/>
      </c>
    </row>
    <row r="48">
      <c r="A48" s="20" t="n"/>
      <c r="B48" s="16">
        <f>IF($A48="","",TEXT($A48,"MMMM"))</f>
        <v/>
      </c>
      <c r="C48" s="16" t="n"/>
      <c r="D48" s="16" t="n"/>
      <c r="E48" s="16" t="n"/>
      <c r="F48" s="16" t="n"/>
      <c r="G48" s="16" t="n"/>
      <c r="H48" s="21" t="n"/>
      <c r="I48" s="16" t="n"/>
      <c r="J48" s="16" t="n"/>
      <c r="K48" s="16" t="n"/>
      <c r="L48" s="16" t="n"/>
      <c r="M48" s="16">
        <f>IFERROR(INDEX(CatGroupGrp,MATCH($D48,CatGroupCat,0)),"")</f>
        <v/>
      </c>
    </row>
    <row r="49">
      <c r="A49" s="20" t="n"/>
      <c r="B49" s="16">
        <f>IF($A49="","",TEXT($A49,"MMMM"))</f>
        <v/>
      </c>
      <c r="C49" s="16" t="n"/>
      <c r="D49" s="16" t="n"/>
      <c r="E49" s="16" t="n"/>
      <c r="F49" s="16" t="n"/>
      <c r="G49" s="16" t="n"/>
      <c r="H49" s="21" t="n"/>
      <c r="I49" s="16" t="n"/>
      <c r="J49" s="16" t="n"/>
      <c r="K49" s="16" t="n"/>
      <c r="L49" s="16" t="n"/>
      <c r="M49" s="16">
        <f>IFERROR(INDEX(CatGroupGrp,MATCH($D49,CatGroupCat,0)),"")</f>
        <v/>
      </c>
    </row>
    <row r="50">
      <c r="A50" s="20" t="n"/>
      <c r="B50" s="16">
        <f>IF($A50="","",TEXT($A50,"MMMM"))</f>
        <v/>
      </c>
      <c r="C50" s="16" t="n"/>
      <c r="D50" s="16" t="n"/>
      <c r="E50" s="16" t="n"/>
      <c r="F50" s="16" t="n"/>
      <c r="G50" s="16" t="n"/>
      <c r="H50" s="21" t="n"/>
      <c r="I50" s="16" t="n"/>
      <c r="J50" s="16" t="n"/>
      <c r="K50" s="16" t="n"/>
      <c r="L50" s="16" t="n"/>
      <c r="M50" s="16">
        <f>IFERROR(INDEX(CatGroupGrp,MATCH($D50,CatGroupCat,0)),"")</f>
        <v/>
      </c>
    </row>
    <row r="51">
      <c r="A51" s="20" t="n"/>
      <c r="B51" s="16">
        <f>IF($A51="","",TEXT($A51,"MMMM"))</f>
        <v/>
      </c>
      <c r="C51" s="16" t="n"/>
      <c r="D51" s="16" t="n"/>
      <c r="E51" s="16" t="n"/>
      <c r="F51" s="16" t="n"/>
      <c r="G51" s="16" t="n"/>
      <c r="H51" s="21" t="n"/>
      <c r="I51" s="16" t="n"/>
      <c r="J51" s="16" t="n"/>
      <c r="K51" s="16" t="n"/>
      <c r="L51" s="16" t="n"/>
      <c r="M51" s="16">
        <f>IFERROR(INDEX(CatGroupGrp,MATCH($D51,CatGroupCat,0)),"")</f>
        <v/>
      </c>
    </row>
    <row r="52">
      <c r="A52" s="20" t="n"/>
      <c r="B52" s="16">
        <f>IF($A52="","",TEXT($A52,"MMMM"))</f>
        <v/>
      </c>
      <c r="C52" s="16" t="n"/>
      <c r="D52" s="16" t="n"/>
      <c r="E52" s="16" t="n"/>
      <c r="F52" s="16" t="n"/>
      <c r="G52" s="16" t="n"/>
      <c r="H52" s="21" t="n"/>
      <c r="I52" s="16" t="n"/>
      <c r="J52" s="16" t="n"/>
      <c r="K52" s="16" t="n"/>
      <c r="L52" s="16" t="n"/>
      <c r="M52" s="16">
        <f>IFERROR(INDEX(CatGroupGrp,MATCH($D52,CatGroupCat,0)),"")</f>
        <v/>
      </c>
    </row>
    <row r="53">
      <c r="A53" s="20" t="n"/>
      <c r="B53" s="16">
        <f>IF($A53="","",TEXT($A53,"MMMM"))</f>
        <v/>
      </c>
      <c r="C53" s="16" t="n"/>
      <c r="D53" s="16" t="n"/>
      <c r="E53" s="16" t="n"/>
      <c r="F53" s="16" t="n"/>
      <c r="G53" s="16" t="n"/>
      <c r="H53" s="21" t="n"/>
      <c r="I53" s="16" t="n"/>
      <c r="J53" s="16" t="n"/>
      <c r="K53" s="16" t="n"/>
      <c r="L53" s="16" t="n"/>
      <c r="M53" s="16">
        <f>IFERROR(INDEX(CatGroupGrp,MATCH($D53,CatGroupCat,0)),"")</f>
        <v/>
      </c>
    </row>
    <row r="54">
      <c r="A54" s="20" t="n"/>
      <c r="B54" s="16">
        <f>IF($A54="","",TEXT($A54,"MMMM"))</f>
        <v/>
      </c>
      <c r="C54" s="16" t="n"/>
      <c r="D54" s="16" t="n"/>
      <c r="E54" s="16" t="n"/>
      <c r="F54" s="16" t="n"/>
      <c r="G54" s="16" t="n"/>
      <c r="H54" s="21" t="n"/>
      <c r="I54" s="16" t="n"/>
      <c r="J54" s="16" t="n"/>
      <c r="K54" s="16" t="n"/>
      <c r="L54" s="16" t="n"/>
      <c r="M54" s="16">
        <f>IFERROR(INDEX(CatGroupGrp,MATCH($D54,CatGroupCat,0)),"")</f>
        <v/>
      </c>
    </row>
    <row r="55">
      <c r="A55" s="20" t="n"/>
      <c r="B55" s="16">
        <f>IF($A55="","",TEXT($A55,"MMMM"))</f>
        <v/>
      </c>
      <c r="C55" s="16" t="n"/>
      <c r="D55" s="16" t="n"/>
      <c r="E55" s="16" t="n"/>
      <c r="F55" s="16" t="n"/>
      <c r="G55" s="16" t="n"/>
      <c r="H55" s="21" t="n"/>
      <c r="I55" s="16" t="n"/>
      <c r="J55" s="16" t="n"/>
      <c r="K55" s="16" t="n"/>
      <c r="L55" s="16" t="n"/>
      <c r="M55" s="16">
        <f>IFERROR(INDEX(CatGroupGrp,MATCH($D55,CatGroupCat,0)),"")</f>
        <v/>
      </c>
    </row>
    <row r="56">
      <c r="A56" s="20" t="n"/>
      <c r="B56" s="16">
        <f>IF($A56="","",TEXT($A56,"MMMM"))</f>
        <v/>
      </c>
      <c r="C56" s="16" t="n"/>
      <c r="D56" s="16" t="n"/>
      <c r="E56" s="16" t="n"/>
      <c r="F56" s="16" t="n"/>
      <c r="G56" s="16" t="n"/>
      <c r="H56" s="21" t="n"/>
      <c r="I56" s="16" t="n"/>
      <c r="J56" s="16" t="n"/>
      <c r="K56" s="16" t="n"/>
      <c r="L56" s="16" t="n"/>
      <c r="M56" s="16">
        <f>IFERROR(INDEX(CatGroupGrp,MATCH($D56,CatGroupCat,0)),"")</f>
        <v/>
      </c>
    </row>
    <row r="57">
      <c r="A57" s="20" t="n"/>
      <c r="B57" s="16">
        <f>IF($A57="","",TEXT($A57,"MMMM"))</f>
        <v/>
      </c>
      <c r="C57" s="16" t="n"/>
      <c r="D57" s="16" t="n"/>
      <c r="E57" s="16" t="n"/>
      <c r="F57" s="16" t="n"/>
      <c r="G57" s="16" t="n"/>
      <c r="H57" s="21" t="n"/>
      <c r="I57" s="16" t="n"/>
      <c r="J57" s="16" t="n"/>
      <c r="K57" s="16" t="n"/>
      <c r="L57" s="16" t="n"/>
      <c r="M57" s="16">
        <f>IFERROR(INDEX(CatGroupGrp,MATCH($D57,CatGroupCat,0)),"")</f>
        <v/>
      </c>
    </row>
    <row r="58">
      <c r="A58" s="20" t="n"/>
      <c r="B58" s="16">
        <f>IF($A58="","",TEXT($A58,"MMMM"))</f>
        <v/>
      </c>
      <c r="C58" s="16" t="n"/>
      <c r="D58" s="16" t="n"/>
      <c r="E58" s="16" t="n"/>
      <c r="F58" s="16" t="n"/>
      <c r="G58" s="16" t="n"/>
      <c r="H58" s="21" t="n"/>
      <c r="I58" s="16" t="n"/>
      <c r="J58" s="16" t="n"/>
      <c r="K58" s="16" t="n"/>
      <c r="L58" s="16" t="n"/>
      <c r="M58" s="16">
        <f>IFERROR(INDEX(CatGroupGrp,MATCH($D58,CatGroupCat,0)),"")</f>
        <v/>
      </c>
    </row>
    <row r="59">
      <c r="A59" s="20" t="n"/>
      <c r="B59" s="16">
        <f>IF($A59="","",TEXT($A59,"MMMM"))</f>
        <v/>
      </c>
      <c r="C59" s="16" t="n"/>
      <c r="D59" s="16" t="n"/>
      <c r="E59" s="16" t="n"/>
      <c r="F59" s="16" t="n"/>
      <c r="G59" s="16" t="n"/>
      <c r="H59" s="21" t="n"/>
      <c r="I59" s="16" t="n"/>
      <c r="J59" s="16" t="n"/>
      <c r="K59" s="16" t="n"/>
      <c r="L59" s="16" t="n"/>
      <c r="M59" s="16">
        <f>IFERROR(INDEX(CatGroupGrp,MATCH($D59,CatGroupCat,0)),"")</f>
        <v/>
      </c>
    </row>
    <row r="60">
      <c r="A60" s="20" t="n"/>
      <c r="B60" s="16">
        <f>IF($A60="","",TEXT($A60,"MMMM"))</f>
        <v/>
      </c>
      <c r="C60" s="16" t="n"/>
      <c r="D60" s="16" t="n"/>
      <c r="E60" s="16" t="n"/>
      <c r="F60" s="16" t="n"/>
      <c r="G60" s="16" t="n"/>
      <c r="H60" s="21" t="n"/>
      <c r="I60" s="16" t="n"/>
      <c r="J60" s="16" t="n"/>
      <c r="K60" s="16" t="n"/>
      <c r="L60" s="16" t="n"/>
      <c r="M60" s="16">
        <f>IFERROR(INDEX(CatGroupGrp,MATCH($D60,CatGroupCat,0)),"")</f>
        <v/>
      </c>
    </row>
    <row r="61">
      <c r="A61" s="20" t="n"/>
      <c r="B61" s="16">
        <f>IF($A61="","",TEXT($A61,"MMMM"))</f>
        <v/>
      </c>
      <c r="C61" s="16" t="n"/>
      <c r="D61" s="16" t="n"/>
      <c r="E61" s="16" t="n"/>
      <c r="F61" s="16" t="n"/>
      <c r="G61" s="16" t="n"/>
      <c r="H61" s="21" t="n"/>
      <c r="I61" s="16" t="n"/>
      <c r="J61" s="16" t="n"/>
      <c r="K61" s="16" t="n"/>
      <c r="L61" s="16" t="n"/>
      <c r="M61" s="16">
        <f>IFERROR(INDEX(CatGroupGrp,MATCH($D61,CatGroupCat,0)),"")</f>
        <v/>
      </c>
    </row>
    <row r="62">
      <c r="A62" s="20" t="n"/>
      <c r="B62" s="16">
        <f>IF($A62="","",TEXT($A62,"MMMM"))</f>
        <v/>
      </c>
      <c r="C62" s="16" t="n"/>
      <c r="D62" s="16" t="n"/>
      <c r="E62" s="16" t="n"/>
      <c r="F62" s="16" t="n"/>
      <c r="G62" s="16" t="n"/>
      <c r="H62" s="21" t="n"/>
      <c r="I62" s="16" t="n"/>
      <c r="J62" s="16" t="n"/>
      <c r="K62" s="16" t="n"/>
      <c r="L62" s="16" t="n"/>
      <c r="M62" s="16">
        <f>IFERROR(INDEX(CatGroupGrp,MATCH($D62,CatGroupCat,0)),"")</f>
        <v/>
      </c>
    </row>
    <row r="63">
      <c r="A63" s="20" t="n"/>
      <c r="B63" s="16">
        <f>IF($A63="","",TEXT($A63,"MMMM"))</f>
        <v/>
      </c>
      <c r="C63" s="16" t="n"/>
      <c r="D63" s="16" t="n"/>
      <c r="E63" s="16" t="n"/>
      <c r="F63" s="16" t="n"/>
      <c r="G63" s="16" t="n"/>
      <c r="H63" s="21" t="n"/>
      <c r="I63" s="16" t="n"/>
      <c r="J63" s="16" t="n"/>
      <c r="K63" s="16" t="n"/>
      <c r="L63" s="16" t="n"/>
      <c r="M63" s="16">
        <f>IFERROR(INDEX(CatGroupGrp,MATCH($D63,CatGroupCat,0)),"")</f>
        <v/>
      </c>
    </row>
    <row r="64">
      <c r="A64" s="20" t="n"/>
      <c r="B64" s="16">
        <f>IF($A64="","",TEXT($A64,"MMMM"))</f>
        <v/>
      </c>
      <c r="C64" s="16" t="n"/>
      <c r="D64" s="16" t="n"/>
      <c r="E64" s="16" t="n"/>
      <c r="F64" s="16" t="n"/>
      <c r="G64" s="16" t="n"/>
      <c r="H64" s="21" t="n"/>
      <c r="I64" s="16" t="n"/>
      <c r="J64" s="16" t="n"/>
      <c r="K64" s="16" t="n"/>
      <c r="L64" s="16" t="n"/>
      <c r="M64" s="16">
        <f>IFERROR(INDEX(CatGroupGrp,MATCH($D64,CatGroupCat,0)),"")</f>
        <v/>
      </c>
    </row>
    <row r="65">
      <c r="A65" s="20" t="n"/>
      <c r="B65" s="16">
        <f>IF($A65="","",TEXT($A65,"MMMM"))</f>
        <v/>
      </c>
      <c r="C65" s="16" t="n"/>
      <c r="D65" s="16" t="n"/>
      <c r="E65" s="16" t="n"/>
      <c r="F65" s="16" t="n"/>
      <c r="G65" s="16" t="n"/>
      <c r="H65" s="21" t="n"/>
      <c r="I65" s="16" t="n"/>
      <c r="J65" s="16" t="n"/>
      <c r="K65" s="16" t="n"/>
      <c r="L65" s="16" t="n"/>
      <c r="M65" s="16">
        <f>IFERROR(INDEX(CatGroupGrp,MATCH($D65,CatGroupCat,0)),"")</f>
        <v/>
      </c>
    </row>
    <row r="66">
      <c r="A66" s="20" t="n"/>
      <c r="B66" s="16">
        <f>IF($A66="","",TEXT($A66,"MMMM"))</f>
        <v/>
      </c>
      <c r="C66" s="16" t="n"/>
      <c r="D66" s="16" t="n"/>
      <c r="E66" s="16" t="n"/>
      <c r="F66" s="16" t="n"/>
      <c r="G66" s="16" t="n"/>
      <c r="H66" s="21" t="n"/>
      <c r="I66" s="16" t="n"/>
      <c r="J66" s="16" t="n"/>
      <c r="K66" s="16" t="n"/>
      <c r="L66" s="16" t="n"/>
      <c r="M66" s="16">
        <f>IFERROR(INDEX(CatGroupGrp,MATCH($D66,CatGroupCat,0)),"")</f>
        <v/>
      </c>
    </row>
    <row r="67">
      <c r="A67" s="20" t="n"/>
      <c r="B67" s="16">
        <f>IF($A67="","",TEXT($A67,"MMMM"))</f>
        <v/>
      </c>
      <c r="C67" s="16" t="n"/>
      <c r="D67" s="16" t="n"/>
      <c r="E67" s="16" t="n"/>
      <c r="F67" s="16" t="n"/>
      <c r="G67" s="16" t="n"/>
      <c r="H67" s="21" t="n"/>
      <c r="I67" s="16" t="n"/>
      <c r="J67" s="16" t="n"/>
      <c r="K67" s="16" t="n"/>
      <c r="L67" s="16" t="n"/>
      <c r="M67" s="16">
        <f>IFERROR(INDEX(CatGroupGrp,MATCH($D67,CatGroupCat,0)),"")</f>
        <v/>
      </c>
    </row>
    <row r="68">
      <c r="A68" s="20" t="n"/>
      <c r="B68" s="16">
        <f>IF($A68="","",TEXT($A68,"MMMM"))</f>
        <v/>
      </c>
      <c r="C68" s="16" t="n"/>
      <c r="D68" s="16" t="n"/>
      <c r="E68" s="16" t="n"/>
      <c r="F68" s="16" t="n"/>
      <c r="G68" s="16" t="n"/>
      <c r="H68" s="21" t="n"/>
      <c r="I68" s="16" t="n"/>
      <c r="J68" s="16" t="n"/>
      <c r="K68" s="16" t="n"/>
      <c r="L68" s="16" t="n"/>
      <c r="M68" s="16">
        <f>IFERROR(INDEX(CatGroupGrp,MATCH($D68,CatGroupCat,0)),"")</f>
        <v/>
      </c>
    </row>
    <row r="69">
      <c r="A69" s="20" t="n"/>
      <c r="B69" s="16">
        <f>IF($A69="","",TEXT($A69,"MMMM"))</f>
        <v/>
      </c>
      <c r="C69" s="16" t="n"/>
      <c r="D69" s="16" t="n"/>
      <c r="E69" s="16" t="n"/>
      <c r="F69" s="16" t="n"/>
      <c r="G69" s="16" t="n"/>
      <c r="H69" s="21" t="n"/>
      <c r="I69" s="16" t="n"/>
      <c r="J69" s="16" t="n"/>
      <c r="K69" s="16" t="n"/>
      <c r="L69" s="16" t="n"/>
      <c r="M69" s="16">
        <f>IFERROR(INDEX(CatGroupGrp,MATCH($D69,CatGroupCat,0)),"")</f>
        <v/>
      </c>
    </row>
    <row r="70">
      <c r="A70" s="20" t="n"/>
      <c r="B70" s="16">
        <f>IF($A70="","",TEXT($A70,"MMMM"))</f>
        <v/>
      </c>
      <c r="C70" s="16" t="n"/>
      <c r="D70" s="16" t="n"/>
      <c r="E70" s="16" t="n"/>
      <c r="F70" s="16" t="n"/>
      <c r="G70" s="16" t="n"/>
      <c r="H70" s="21" t="n"/>
      <c r="I70" s="16" t="n"/>
      <c r="J70" s="16" t="n"/>
      <c r="K70" s="16" t="n"/>
      <c r="L70" s="16" t="n"/>
      <c r="M70" s="16">
        <f>IFERROR(INDEX(CatGroupGrp,MATCH($D70,CatGroupCat,0)),"")</f>
        <v/>
      </c>
    </row>
    <row r="71">
      <c r="A71" s="20" t="n"/>
      <c r="B71" s="16">
        <f>IF($A71="","",TEXT($A71,"MMMM"))</f>
        <v/>
      </c>
      <c r="C71" s="16" t="n"/>
      <c r="D71" s="16" t="n"/>
      <c r="E71" s="16" t="n"/>
      <c r="F71" s="16" t="n"/>
      <c r="G71" s="16" t="n"/>
      <c r="H71" s="21" t="n"/>
      <c r="I71" s="16" t="n"/>
      <c r="J71" s="16" t="n"/>
      <c r="K71" s="16" t="n"/>
      <c r="L71" s="16" t="n"/>
      <c r="M71" s="16">
        <f>IFERROR(INDEX(CatGroupGrp,MATCH($D71,CatGroupCat,0)),"")</f>
        <v/>
      </c>
    </row>
    <row r="72">
      <c r="A72" s="20" t="n"/>
      <c r="B72" s="16">
        <f>IF($A72="","",TEXT($A72,"MMMM"))</f>
        <v/>
      </c>
      <c r="C72" s="16" t="n"/>
      <c r="D72" s="16" t="n"/>
      <c r="E72" s="16" t="n"/>
      <c r="F72" s="16" t="n"/>
      <c r="G72" s="16" t="n"/>
      <c r="H72" s="21" t="n"/>
      <c r="I72" s="16" t="n"/>
      <c r="J72" s="16" t="n"/>
      <c r="K72" s="16" t="n"/>
      <c r="L72" s="16" t="n"/>
      <c r="M72" s="16">
        <f>IFERROR(INDEX(CatGroupGrp,MATCH($D72,CatGroupCat,0)),"")</f>
        <v/>
      </c>
    </row>
    <row r="73">
      <c r="A73" s="20" t="n"/>
      <c r="B73" s="16">
        <f>IF($A73="","",TEXT($A73,"MMMM"))</f>
        <v/>
      </c>
      <c r="C73" s="16" t="n"/>
      <c r="D73" s="16" t="n"/>
      <c r="E73" s="16" t="n"/>
      <c r="F73" s="16" t="n"/>
      <c r="G73" s="16" t="n"/>
      <c r="H73" s="21" t="n"/>
      <c r="I73" s="16" t="n"/>
      <c r="J73" s="16" t="n"/>
      <c r="K73" s="16" t="n"/>
      <c r="L73" s="16" t="n"/>
      <c r="M73" s="16">
        <f>IFERROR(INDEX(CatGroupGrp,MATCH($D73,CatGroupCat,0)),"")</f>
        <v/>
      </c>
    </row>
    <row r="74">
      <c r="A74" s="20" t="n"/>
      <c r="B74" s="16">
        <f>IF($A74="","",TEXT($A74,"MMMM"))</f>
        <v/>
      </c>
      <c r="C74" s="16" t="n"/>
      <c r="D74" s="16" t="n"/>
      <c r="E74" s="16" t="n"/>
      <c r="F74" s="16" t="n"/>
      <c r="G74" s="16" t="n"/>
      <c r="H74" s="21" t="n"/>
      <c r="I74" s="16" t="n"/>
      <c r="J74" s="16" t="n"/>
      <c r="K74" s="16" t="n"/>
      <c r="L74" s="16" t="n"/>
      <c r="M74" s="16">
        <f>IFERROR(INDEX(CatGroupGrp,MATCH($D74,CatGroupCat,0)),"")</f>
        <v/>
      </c>
    </row>
    <row r="75">
      <c r="A75" s="20" t="n"/>
      <c r="B75" s="16">
        <f>IF($A75="","",TEXT($A75,"MMMM"))</f>
        <v/>
      </c>
      <c r="C75" s="16" t="n"/>
      <c r="D75" s="16" t="n"/>
      <c r="E75" s="16" t="n"/>
      <c r="F75" s="16" t="n"/>
      <c r="G75" s="16" t="n"/>
      <c r="H75" s="21" t="n"/>
      <c r="I75" s="16" t="n"/>
      <c r="J75" s="16" t="n"/>
      <c r="K75" s="16" t="n"/>
      <c r="L75" s="16" t="n"/>
      <c r="M75" s="16">
        <f>IFERROR(INDEX(CatGroupGrp,MATCH($D75,CatGroupCat,0)),"")</f>
        <v/>
      </c>
    </row>
    <row r="76">
      <c r="A76" s="20" t="n"/>
      <c r="B76" s="16">
        <f>IF($A76="","",TEXT($A76,"MMMM"))</f>
        <v/>
      </c>
      <c r="C76" s="16" t="n"/>
      <c r="D76" s="16" t="n"/>
      <c r="E76" s="16" t="n"/>
      <c r="F76" s="16" t="n"/>
      <c r="G76" s="16" t="n"/>
      <c r="H76" s="21" t="n"/>
      <c r="I76" s="16" t="n"/>
      <c r="J76" s="16" t="n"/>
      <c r="K76" s="16" t="n"/>
      <c r="L76" s="16" t="n"/>
      <c r="M76" s="16">
        <f>IFERROR(INDEX(CatGroupGrp,MATCH($D76,CatGroupCat,0)),"")</f>
        <v/>
      </c>
    </row>
    <row r="77">
      <c r="A77" s="20" t="n"/>
      <c r="B77" s="16">
        <f>IF($A77="","",TEXT($A77,"MMMM"))</f>
        <v/>
      </c>
      <c r="C77" s="16" t="n"/>
      <c r="D77" s="16" t="n"/>
      <c r="E77" s="16" t="n"/>
      <c r="F77" s="16" t="n"/>
      <c r="G77" s="16" t="n"/>
      <c r="H77" s="21" t="n"/>
      <c r="I77" s="16" t="n"/>
      <c r="J77" s="16" t="n"/>
      <c r="K77" s="16" t="n"/>
      <c r="L77" s="16" t="n"/>
      <c r="M77" s="16">
        <f>IFERROR(INDEX(CatGroupGrp,MATCH($D77,CatGroupCat,0)),"")</f>
        <v/>
      </c>
    </row>
    <row r="78">
      <c r="A78" s="20" t="n"/>
      <c r="B78" s="16">
        <f>IF($A78="","",TEXT($A78,"MMMM"))</f>
        <v/>
      </c>
      <c r="C78" s="16" t="n"/>
      <c r="D78" s="16" t="n"/>
      <c r="E78" s="16" t="n"/>
      <c r="F78" s="16" t="n"/>
      <c r="G78" s="16" t="n"/>
      <c r="H78" s="21" t="n"/>
      <c r="I78" s="16" t="n"/>
      <c r="J78" s="16" t="n"/>
      <c r="K78" s="16" t="n"/>
      <c r="L78" s="16" t="n"/>
      <c r="M78" s="16">
        <f>IFERROR(INDEX(CatGroupGrp,MATCH($D78,CatGroupCat,0)),"")</f>
        <v/>
      </c>
    </row>
    <row r="79">
      <c r="A79" s="20" t="n"/>
      <c r="B79" s="16">
        <f>IF($A79="","",TEXT($A79,"MMMM"))</f>
        <v/>
      </c>
      <c r="C79" s="16" t="n"/>
      <c r="D79" s="16" t="n"/>
      <c r="E79" s="16" t="n"/>
      <c r="F79" s="16" t="n"/>
      <c r="G79" s="16" t="n"/>
      <c r="H79" s="21" t="n"/>
      <c r="I79" s="16" t="n"/>
      <c r="J79" s="16" t="n"/>
      <c r="K79" s="16" t="n"/>
      <c r="L79" s="16" t="n"/>
      <c r="M79" s="16">
        <f>IFERROR(INDEX(CatGroupGrp,MATCH($D79,CatGroupCat,0)),"")</f>
        <v/>
      </c>
    </row>
    <row r="80">
      <c r="A80" s="20" t="n"/>
      <c r="B80" s="16">
        <f>IF($A80="","",TEXT($A80,"MMMM"))</f>
        <v/>
      </c>
      <c r="C80" s="16" t="n"/>
      <c r="D80" s="16" t="n"/>
      <c r="E80" s="16" t="n"/>
      <c r="F80" s="16" t="n"/>
      <c r="G80" s="16" t="n"/>
      <c r="H80" s="21" t="n"/>
      <c r="I80" s="16" t="n"/>
      <c r="J80" s="16" t="n"/>
      <c r="K80" s="16" t="n"/>
      <c r="L80" s="16" t="n"/>
      <c r="M80" s="16">
        <f>IFERROR(INDEX(CatGroupGrp,MATCH($D80,CatGroupCat,0)),"")</f>
        <v/>
      </c>
    </row>
    <row r="81">
      <c r="A81" s="20" t="n"/>
      <c r="B81" s="16">
        <f>IF($A81="","",TEXT($A81,"MMMM"))</f>
        <v/>
      </c>
      <c r="C81" s="16" t="n"/>
      <c r="D81" s="16" t="n"/>
      <c r="E81" s="16" t="n"/>
      <c r="F81" s="16" t="n"/>
      <c r="G81" s="16" t="n"/>
      <c r="H81" s="21" t="n"/>
      <c r="I81" s="16" t="n"/>
      <c r="J81" s="16" t="n"/>
      <c r="K81" s="16" t="n"/>
      <c r="L81" s="16" t="n"/>
      <c r="M81" s="16">
        <f>IFERROR(INDEX(CatGroupGrp,MATCH($D81,CatGroupCat,0)),"")</f>
        <v/>
      </c>
    </row>
    <row r="82">
      <c r="A82" s="20" t="n"/>
      <c r="B82" s="16">
        <f>IF($A82="","",TEXT($A82,"MMMM"))</f>
        <v/>
      </c>
      <c r="C82" s="16" t="n"/>
      <c r="D82" s="16" t="n"/>
      <c r="E82" s="16" t="n"/>
      <c r="F82" s="16" t="n"/>
      <c r="G82" s="16" t="n"/>
      <c r="H82" s="21" t="n"/>
      <c r="I82" s="16" t="n"/>
      <c r="J82" s="16" t="n"/>
      <c r="K82" s="16" t="n"/>
      <c r="L82" s="16" t="n"/>
      <c r="M82" s="16">
        <f>IFERROR(INDEX(CatGroupGrp,MATCH($D82,CatGroupCat,0)),"")</f>
        <v/>
      </c>
    </row>
    <row r="83">
      <c r="A83" s="20" t="n"/>
      <c r="B83" s="16">
        <f>IF($A83="","",TEXT($A83,"MMMM"))</f>
        <v/>
      </c>
      <c r="C83" s="16" t="n"/>
      <c r="D83" s="16" t="n"/>
      <c r="E83" s="16" t="n"/>
      <c r="F83" s="16" t="n"/>
      <c r="G83" s="16" t="n"/>
      <c r="H83" s="21" t="n"/>
      <c r="I83" s="16" t="n"/>
      <c r="J83" s="16" t="n"/>
      <c r="K83" s="16" t="n"/>
      <c r="L83" s="16" t="n"/>
      <c r="M83" s="16">
        <f>IFERROR(INDEX(CatGroupGrp,MATCH($D83,CatGroupCat,0)),"")</f>
        <v/>
      </c>
    </row>
    <row r="84">
      <c r="A84" s="20" t="n"/>
      <c r="B84" s="16">
        <f>IF($A84="","",TEXT($A84,"MMMM"))</f>
        <v/>
      </c>
      <c r="C84" s="16" t="n"/>
      <c r="D84" s="16" t="n"/>
      <c r="E84" s="16" t="n"/>
      <c r="F84" s="16" t="n"/>
      <c r="G84" s="16" t="n"/>
      <c r="H84" s="21" t="n"/>
      <c r="I84" s="16" t="n"/>
      <c r="J84" s="16" t="n"/>
      <c r="K84" s="16" t="n"/>
      <c r="L84" s="16" t="n"/>
      <c r="M84" s="16">
        <f>IFERROR(INDEX(CatGroupGrp,MATCH($D84,CatGroupCat,0)),"")</f>
        <v/>
      </c>
    </row>
    <row r="85">
      <c r="A85" s="20" t="n"/>
      <c r="B85" s="16">
        <f>IF($A85="","",TEXT($A85,"MMMM"))</f>
        <v/>
      </c>
      <c r="C85" s="16" t="n"/>
      <c r="D85" s="16" t="n"/>
      <c r="E85" s="16" t="n"/>
      <c r="F85" s="16" t="n"/>
      <c r="G85" s="16" t="n"/>
      <c r="H85" s="21" t="n"/>
      <c r="I85" s="16" t="n"/>
      <c r="J85" s="16" t="n"/>
      <c r="K85" s="16" t="n"/>
      <c r="L85" s="16" t="n"/>
      <c r="M85" s="16">
        <f>IFERROR(INDEX(CatGroupGrp,MATCH($D85,CatGroupCat,0)),"")</f>
        <v/>
      </c>
    </row>
    <row r="86">
      <c r="A86" s="20" t="n"/>
      <c r="B86" s="16">
        <f>IF($A86="","",TEXT($A86,"MMMM"))</f>
        <v/>
      </c>
      <c r="C86" s="16" t="n"/>
      <c r="D86" s="16" t="n"/>
      <c r="E86" s="16" t="n"/>
      <c r="F86" s="16" t="n"/>
      <c r="G86" s="16" t="n"/>
      <c r="H86" s="21" t="n"/>
      <c r="I86" s="16" t="n"/>
      <c r="J86" s="16" t="n"/>
      <c r="K86" s="16" t="n"/>
      <c r="L86" s="16" t="n"/>
      <c r="M86" s="16">
        <f>IFERROR(INDEX(CatGroupGrp,MATCH($D86,CatGroupCat,0)),"")</f>
        <v/>
      </c>
    </row>
    <row r="87">
      <c r="A87" s="20" t="n"/>
      <c r="B87" s="16">
        <f>IF($A87="","",TEXT($A87,"MMMM"))</f>
        <v/>
      </c>
      <c r="C87" s="16" t="n"/>
      <c r="D87" s="16" t="n"/>
      <c r="E87" s="16" t="n"/>
      <c r="F87" s="16" t="n"/>
      <c r="G87" s="16" t="n"/>
      <c r="H87" s="21" t="n"/>
      <c r="I87" s="16" t="n"/>
      <c r="J87" s="16" t="n"/>
      <c r="K87" s="16" t="n"/>
      <c r="L87" s="16" t="n"/>
      <c r="M87" s="16">
        <f>IFERROR(INDEX(CatGroupGrp,MATCH($D87,CatGroupCat,0)),"")</f>
        <v/>
      </c>
    </row>
    <row r="88">
      <c r="A88" s="20" t="n"/>
      <c r="B88" s="16">
        <f>IF($A88="","",TEXT($A88,"MMMM"))</f>
        <v/>
      </c>
      <c r="C88" s="16" t="n"/>
      <c r="D88" s="16" t="n"/>
      <c r="E88" s="16" t="n"/>
      <c r="F88" s="16" t="n"/>
      <c r="G88" s="16" t="n"/>
      <c r="H88" s="21" t="n"/>
      <c r="I88" s="16" t="n"/>
      <c r="J88" s="16" t="n"/>
      <c r="K88" s="16" t="n"/>
      <c r="L88" s="16" t="n"/>
      <c r="M88" s="16">
        <f>IFERROR(INDEX(CatGroupGrp,MATCH($D88,CatGroupCat,0)),"")</f>
        <v/>
      </c>
    </row>
    <row r="89">
      <c r="A89" s="20" t="n"/>
      <c r="B89" s="16">
        <f>IF($A89="","",TEXT($A89,"MMMM"))</f>
        <v/>
      </c>
      <c r="C89" s="16" t="n"/>
      <c r="D89" s="16" t="n"/>
      <c r="E89" s="16" t="n"/>
      <c r="F89" s="16" t="n"/>
      <c r="G89" s="16" t="n"/>
      <c r="H89" s="21" t="n"/>
      <c r="I89" s="16" t="n"/>
      <c r="J89" s="16" t="n"/>
      <c r="K89" s="16" t="n"/>
      <c r="L89" s="16" t="n"/>
      <c r="M89" s="16">
        <f>IFERROR(INDEX(CatGroupGrp,MATCH($D89,CatGroupCat,0)),"")</f>
        <v/>
      </c>
    </row>
    <row r="90">
      <c r="A90" s="20" t="n"/>
      <c r="B90" s="16">
        <f>IF($A90="","",TEXT($A90,"MMMM"))</f>
        <v/>
      </c>
      <c r="C90" s="16" t="n"/>
      <c r="D90" s="16" t="n"/>
      <c r="E90" s="16" t="n"/>
      <c r="F90" s="16" t="n"/>
      <c r="G90" s="16" t="n"/>
      <c r="H90" s="21" t="n"/>
      <c r="I90" s="16" t="n"/>
      <c r="J90" s="16" t="n"/>
      <c r="K90" s="16" t="n"/>
      <c r="L90" s="16" t="n"/>
      <c r="M90" s="16">
        <f>IFERROR(INDEX(CatGroupGrp,MATCH($D90,CatGroupCat,0)),"")</f>
        <v/>
      </c>
    </row>
    <row r="91">
      <c r="A91" s="20" t="n"/>
      <c r="B91" s="16">
        <f>IF($A91="","",TEXT($A91,"MMMM"))</f>
        <v/>
      </c>
      <c r="C91" s="16" t="n"/>
      <c r="D91" s="16" t="n"/>
      <c r="E91" s="16" t="n"/>
      <c r="F91" s="16" t="n"/>
      <c r="G91" s="16" t="n"/>
      <c r="H91" s="21" t="n"/>
      <c r="I91" s="16" t="n"/>
      <c r="J91" s="16" t="n"/>
      <c r="K91" s="16" t="n"/>
      <c r="L91" s="16" t="n"/>
      <c r="M91" s="16">
        <f>IFERROR(INDEX(CatGroupGrp,MATCH($D91,CatGroupCat,0)),"")</f>
        <v/>
      </c>
    </row>
    <row r="92">
      <c r="A92" s="20" t="n"/>
      <c r="B92" s="16">
        <f>IF($A92="","",TEXT($A92,"MMMM"))</f>
        <v/>
      </c>
      <c r="C92" s="16" t="n"/>
      <c r="D92" s="16" t="n"/>
      <c r="E92" s="16" t="n"/>
      <c r="F92" s="16" t="n"/>
      <c r="G92" s="16" t="n"/>
      <c r="H92" s="21" t="n"/>
      <c r="I92" s="16" t="n"/>
      <c r="J92" s="16" t="n"/>
      <c r="K92" s="16" t="n"/>
      <c r="L92" s="16" t="n"/>
      <c r="M92" s="16">
        <f>IFERROR(INDEX(CatGroupGrp,MATCH($D92,CatGroupCat,0)),"")</f>
        <v/>
      </c>
    </row>
    <row r="93">
      <c r="A93" s="20" t="n"/>
      <c r="B93" s="16">
        <f>IF($A93="","",TEXT($A93,"MMMM"))</f>
        <v/>
      </c>
      <c r="C93" s="16" t="n"/>
      <c r="D93" s="16" t="n"/>
      <c r="E93" s="16" t="n"/>
      <c r="F93" s="16" t="n"/>
      <c r="G93" s="16" t="n"/>
      <c r="H93" s="21" t="n"/>
      <c r="I93" s="16" t="n"/>
      <c r="J93" s="16" t="n"/>
      <c r="K93" s="16" t="n"/>
      <c r="L93" s="16" t="n"/>
      <c r="M93" s="16">
        <f>IFERROR(INDEX(CatGroupGrp,MATCH($D93,CatGroupCat,0)),"")</f>
        <v/>
      </c>
    </row>
    <row r="94">
      <c r="A94" s="20" t="n"/>
      <c r="B94" s="16">
        <f>IF($A94="","",TEXT($A94,"MMMM"))</f>
        <v/>
      </c>
      <c r="C94" s="16" t="n"/>
      <c r="D94" s="16" t="n"/>
      <c r="E94" s="16" t="n"/>
      <c r="F94" s="16" t="n"/>
      <c r="G94" s="16" t="n"/>
      <c r="H94" s="21" t="n"/>
      <c r="I94" s="16" t="n"/>
      <c r="J94" s="16" t="n"/>
      <c r="K94" s="16" t="n"/>
      <c r="L94" s="16" t="n"/>
      <c r="M94" s="16">
        <f>IFERROR(INDEX(CatGroupGrp,MATCH($D94,CatGroupCat,0)),"")</f>
        <v/>
      </c>
    </row>
    <row r="95">
      <c r="A95" s="20" t="n"/>
      <c r="B95" s="16">
        <f>IF($A95="","",TEXT($A95,"MMMM"))</f>
        <v/>
      </c>
      <c r="C95" s="16" t="n"/>
      <c r="D95" s="16" t="n"/>
      <c r="E95" s="16" t="n"/>
      <c r="F95" s="16" t="n"/>
      <c r="G95" s="16" t="n"/>
      <c r="H95" s="21" t="n"/>
      <c r="I95" s="16" t="n"/>
      <c r="J95" s="16" t="n"/>
      <c r="K95" s="16" t="n"/>
      <c r="L95" s="16" t="n"/>
      <c r="M95" s="16">
        <f>IFERROR(INDEX(CatGroupGrp,MATCH($D95,CatGroupCat,0)),"")</f>
        <v/>
      </c>
    </row>
    <row r="96">
      <c r="A96" s="20" t="n"/>
      <c r="B96" s="16">
        <f>IF($A96="","",TEXT($A96,"MMMM"))</f>
        <v/>
      </c>
      <c r="C96" s="16" t="n"/>
      <c r="D96" s="16" t="n"/>
      <c r="E96" s="16" t="n"/>
      <c r="F96" s="16" t="n"/>
      <c r="G96" s="16" t="n"/>
      <c r="H96" s="21" t="n"/>
      <c r="I96" s="16" t="n"/>
      <c r="J96" s="16" t="n"/>
      <c r="K96" s="16" t="n"/>
      <c r="L96" s="16" t="n"/>
      <c r="M96" s="16">
        <f>IFERROR(INDEX(CatGroupGrp,MATCH($D96,CatGroupCat,0)),"")</f>
        <v/>
      </c>
    </row>
    <row r="97">
      <c r="A97" s="20" t="n"/>
      <c r="B97" s="16">
        <f>IF($A97="","",TEXT($A97,"MMMM"))</f>
        <v/>
      </c>
      <c r="C97" s="16" t="n"/>
      <c r="D97" s="16" t="n"/>
      <c r="E97" s="16" t="n"/>
      <c r="F97" s="16" t="n"/>
      <c r="G97" s="16" t="n"/>
      <c r="H97" s="21" t="n"/>
      <c r="I97" s="16" t="n"/>
      <c r="J97" s="16" t="n"/>
      <c r="K97" s="16" t="n"/>
      <c r="L97" s="16" t="n"/>
      <c r="M97" s="16">
        <f>IFERROR(INDEX(CatGroupGrp,MATCH($D97,CatGroupCat,0)),"")</f>
        <v/>
      </c>
    </row>
    <row r="98">
      <c r="A98" s="20" t="n"/>
      <c r="B98" s="16">
        <f>IF($A98="","",TEXT($A98,"MMMM"))</f>
        <v/>
      </c>
      <c r="C98" s="16" t="n"/>
      <c r="D98" s="16" t="n"/>
      <c r="E98" s="16" t="n"/>
      <c r="F98" s="16" t="n"/>
      <c r="G98" s="16" t="n"/>
      <c r="H98" s="21" t="n"/>
      <c r="I98" s="16" t="n"/>
      <c r="J98" s="16" t="n"/>
      <c r="K98" s="16" t="n"/>
      <c r="L98" s="16" t="n"/>
      <c r="M98" s="16">
        <f>IFERROR(INDEX(CatGroupGrp,MATCH($D98,CatGroupCat,0)),"")</f>
        <v/>
      </c>
    </row>
    <row r="99">
      <c r="A99" s="20" t="n"/>
      <c r="B99" s="16">
        <f>IF($A99="","",TEXT($A99,"MMMM"))</f>
        <v/>
      </c>
      <c r="C99" s="16" t="n"/>
      <c r="D99" s="16" t="n"/>
      <c r="E99" s="16" t="n"/>
      <c r="F99" s="16" t="n"/>
      <c r="G99" s="16" t="n"/>
      <c r="H99" s="21" t="n"/>
      <c r="I99" s="16" t="n"/>
      <c r="J99" s="16" t="n"/>
      <c r="K99" s="16" t="n"/>
      <c r="L99" s="16" t="n"/>
      <c r="M99" s="16">
        <f>IFERROR(INDEX(CatGroupGrp,MATCH($D99,CatGroupCat,0)),"")</f>
        <v/>
      </c>
    </row>
    <row r="100">
      <c r="A100" s="20" t="n"/>
      <c r="B100" s="16">
        <f>IF($A100="","",TEXT($A100,"MMMM"))</f>
        <v/>
      </c>
      <c r="C100" s="16" t="n"/>
      <c r="D100" s="16" t="n"/>
      <c r="E100" s="16" t="n"/>
      <c r="F100" s="16" t="n"/>
      <c r="G100" s="16" t="n"/>
      <c r="H100" s="21" t="n"/>
      <c r="I100" s="16" t="n"/>
      <c r="J100" s="16" t="n"/>
      <c r="K100" s="16" t="n"/>
      <c r="L100" s="16" t="n"/>
      <c r="M100" s="16">
        <f>IFERROR(INDEX(CatGroupGrp,MATCH($D100,CatGroupCat,0)),"")</f>
        <v/>
      </c>
    </row>
    <row r="101">
      <c r="A101" s="20" t="n"/>
      <c r="B101" s="16">
        <f>IF($A101="","",TEXT($A101,"MMMM"))</f>
        <v/>
      </c>
      <c r="C101" s="16" t="n"/>
      <c r="D101" s="16" t="n"/>
      <c r="E101" s="16" t="n"/>
      <c r="F101" s="16" t="n"/>
      <c r="G101" s="16" t="n"/>
      <c r="H101" s="21" t="n"/>
      <c r="I101" s="16" t="n"/>
      <c r="J101" s="16" t="n"/>
      <c r="K101" s="16" t="n"/>
      <c r="L101" s="16" t="n"/>
      <c r="M101" s="16">
        <f>IFERROR(INDEX(CatGroupGrp,MATCH($D101,CatGroupCat,0)),"")</f>
        <v/>
      </c>
    </row>
    <row r="102">
      <c r="A102" s="20" t="n"/>
      <c r="B102" s="16">
        <f>IF($A102="","",TEXT($A102,"MMMM"))</f>
        <v/>
      </c>
      <c r="C102" s="16" t="n"/>
      <c r="D102" s="16" t="n"/>
      <c r="E102" s="16" t="n"/>
      <c r="F102" s="16" t="n"/>
      <c r="G102" s="16" t="n"/>
      <c r="H102" s="21" t="n"/>
      <c r="I102" s="16" t="n"/>
      <c r="J102" s="16" t="n"/>
      <c r="K102" s="16" t="n"/>
      <c r="L102" s="16" t="n"/>
      <c r="M102" s="16">
        <f>IFERROR(INDEX(CatGroupGrp,MATCH($D102,CatGroupCat,0)),"")</f>
        <v/>
      </c>
    </row>
    <row r="103">
      <c r="A103" s="20" t="n"/>
      <c r="B103" s="16">
        <f>IF($A103="","",TEXT($A103,"MMMM"))</f>
        <v/>
      </c>
      <c r="C103" s="16" t="n"/>
      <c r="D103" s="16" t="n"/>
      <c r="E103" s="16" t="n"/>
      <c r="F103" s="16" t="n"/>
      <c r="G103" s="16" t="n"/>
      <c r="H103" s="21" t="n"/>
      <c r="I103" s="16" t="n"/>
      <c r="J103" s="16" t="n"/>
      <c r="K103" s="16" t="n"/>
      <c r="L103" s="16" t="n"/>
      <c r="M103" s="16">
        <f>IFERROR(INDEX(CatGroupGrp,MATCH($D103,CatGroupCat,0)),"")</f>
        <v/>
      </c>
    </row>
    <row r="104">
      <c r="A104" s="20" t="n"/>
      <c r="B104" s="16">
        <f>IF($A104="","",TEXT($A104,"MMMM"))</f>
        <v/>
      </c>
      <c r="C104" s="16" t="n"/>
      <c r="D104" s="16" t="n"/>
      <c r="E104" s="16" t="n"/>
      <c r="F104" s="16" t="n"/>
      <c r="G104" s="16" t="n"/>
      <c r="H104" s="21" t="n"/>
      <c r="I104" s="16" t="n"/>
      <c r="J104" s="16" t="n"/>
      <c r="K104" s="16" t="n"/>
      <c r="L104" s="16" t="n"/>
      <c r="M104" s="16">
        <f>IFERROR(INDEX(CatGroupGrp,MATCH($D104,CatGroupCat,0)),"")</f>
        <v/>
      </c>
    </row>
    <row r="105">
      <c r="A105" s="20" t="n"/>
      <c r="B105" s="16">
        <f>IF($A105="","",TEXT($A105,"MMMM"))</f>
        <v/>
      </c>
      <c r="C105" s="16" t="n"/>
      <c r="D105" s="16" t="n"/>
      <c r="E105" s="16" t="n"/>
      <c r="F105" s="16" t="n"/>
      <c r="G105" s="16" t="n"/>
      <c r="H105" s="21" t="n"/>
      <c r="I105" s="16" t="n"/>
      <c r="J105" s="16" t="n"/>
      <c r="K105" s="16" t="n"/>
      <c r="L105" s="16" t="n"/>
      <c r="M105" s="16">
        <f>IFERROR(INDEX(CatGroupGrp,MATCH($D105,CatGroupCat,0)),"")</f>
        <v/>
      </c>
    </row>
    <row r="106">
      <c r="A106" s="20" t="n"/>
      <c r="B106" s="16">
        <f>IF($A106="","",TEXT($A106,"MMMM"))</f>
        <v/>
      </c>
      <c r="C106" s="16" t="n"/>
      <c r="D106" s="16" t="n"/>
      <c r="E106" s="16" t="n"/>
      <c r="F106" s="16" t="n"/>
      <c r="G106" s="16" t="n"/>
      <c r="H106" s="21" t="n"/>
      <c r="I106" s="16" t="n"/>
      <c r="J106" s="16" t="n"/>
      <c r="K106" s="16" t="n"/>
      <c r="L106" s="16" t="n"/>
      <c r="M106" s="16">
        <f>IFERROR(INDEX(CatGroupGrp,MATCH($D106,CatGroupCat,0)),"")</f>
        <v/>
      </c>
    </row>
    <row r="107">
      <c r="A107" s="20" t="n"/>
      <c r="B107" s="16">
        <f>IF($A107="","",TEXT($A107,"MMMM"))</f>
        <v/>
      </c>
      <c r="C107" s="16" t="n"/>
      <c r="D107" s="16" t="n"/>
      <c r="E107" s="16" t="n"/>
      <c r="F107" s="16" t="n"/>
      <c r="G107" s="16" t="n"/>
      <c r="H107" s="21" t="n"/>
      <c r="I107" s="16" t="n"/>
      <c r="J107" s="16" t="n"/>
      <c r="K107" s="16" t="n"/>
      <c r="L107" s="16" t="n"/>
      <c r="M107" s="16">
        <f>IFERROR(INDEX(CatGroupGrp,MATCH($D107,CatGroupCat,0)),"")</f>
        <v/>
      </c>
    </row>
    <row r="108">
      <c r="A108" s="20" t="n"/>
      <c r="B108" s="16">
        <f>IF($A108="","",TEXT($A108,"MMMM"))</f>
        <v/>
      </c>
      <c r="C108" s="16" t="n"/>
      <c r="D108" s="16" t="n"/>
      <c r="E108" s="16" t="n"/>
      <c r="F108" s="16" t="n"/>
      <c r="G108" s="16" t="n"/>
      <c r="H108" s="21" t="n"/>
      <c r="I108" s="16" t="n"/>
      <c r="J108" s="16" t="n"/>
      <c r="K108" s="16" t="n"/>
      <c r="L108" s="16" t="n"/>
      <c r="M108" s="16">
        <f>IFERROR(INDEX(CatGroupGrp,MATCH($D108,CatGroupCat,0)),"")</f>
        <v/>
      </c>
    </row>
    <row r="109">
      <c r="A109" s="20" t="n"/>
      <c r="B109" s="16">
        <f>IF($A109="","",TEXT($A109,"MMMM"))</f>
        <v/>
      </c>
      <c r="C109" s="16" t="n"/>
      <c r="D109" s="16" t="n"/>
      <c r="E109" s="16" t="n"/>
      <c r="F109" s="16" t="n"/>
      <c r="G109" s="16" t="n"/>
      <c r="H109" s="21" t="n"/>
      <c r="I109" s="16" t="n"/>
      <c r="J109" s="16" t="n"/>
      <c r="K109" s="16" t="n"/>
      <c r="L109" s="16" t="n"/>
      <c r="M109" s="16">
        <f>IFERROR(INDEX(CatGroupGrp,MATCH($D109,CatGroupCat,0)),"")</f>
        <v/>
      </c>
    </row>
    <row r="110">
      <c r="A110" s="20" t="n"/>
      <c r="B110" s="16">
        <f>IF($A110="","",TEXT($A110,"MMMM"))</f>
        <v/>
      </c>
      <c r="C110" s="16" t="n"/>
      <c r="D110" s="16" t="n"/>
      <c r="E110" s="16" t="n"/>
      <c r="F110" s="16" t="n"/>
      <c r="G110" s="16" t="n"/>
      <c r="H110" s="21" t="n"/>
      <c r="I110" s="16" t="n"/>
      <c r="J110" s="16" t="n"/>
      <c r="K110" s="16" t="n"/>
      <c r="L110" s="16" t="n"/>
      <c r="M110" s="16">
        <f>IFERROR(INDEX(CatGroupGrp,MATCH($D110,CatGroupCat,0)),"")</f>
        <v/>
      </c>
    </row>
    <row r="111">
      <c r="A111" s="20" t="n"/>
      <c r="B111" s="16">
        <f>IF($A111="","",TEXT($A111,"MMMM"))</f>
        <v/>
      </c>
      <c r="C111" s="16" t="n"/>
      <c r="D111" s="16" t="n"/>
      <c r="E111" s="16" t="n"/>
      <c r="F111" s="16" t="n"/>
      <c r="G111" s="16" t="n"/>
      <c r="H111" s="21" t="n"/>
      <c r="I111" s="16" t="n"/>
      <c r="J111" s="16" t="n"/>
      <c r="K111" s="16" t="n"/>
      <c r="L111" s="16" t="n"/>
      <c r="M111" s="16">
        <f>IFERROR(INDEX(CatGroupGrp,MATCH($D111,CatGroupCat,0)),"")</f>
        <v/>
      </c>
    </row>
    <row r="112">
      <c r="A112" s="20" t="n"/>
      <c r="B112" s="16">
        <f>IF($A112="","",TEXT($A112,"MMMM"))</f>
        <v/>
      </c>
      <c r="C112" s="16" t="n"/>
      <c r="D112" s="16" t="n"/>
      <c r="E112" s="16" t="n"/>
      <c r="F112" s="16" t="n"/>
      <c r="G112" s="16" t="n"/>
      <c r="H112" s="21" t="n"/>
      <c r="I112" s="16" t="n"/>
      <c r="J112" s="16" t="n"/>
      <c r="K112" s="16" t="n"/>
      <c r="L112" s="16" t="n"/>
      <c r="M112" s="16">
        <f>IFERROR(INDEX(CatGroupGrp,MATCH($D112,CatGroupCat,0)),"")</f>
        <v/>
      </c>
    </row>
    <row r="113">
      <c r="A113" s="20" t="n"/>
      <c r="B113" s="16">
        <f>IF($A113="","",TEXT($A113,"MMMM"))</f>
        <v/>
      </c>
      <c r="C113" s="16" t="n"/>
      <c r="D113" s="16" t="n"/>
      <c r="E113" s="16" t="n"/>
      <c r="F113" s="16" t="n"/>
      <c r="G113" s="16" t="n"/>
      <c r="H113" s="21" t="n"/>
      <c r="I113" s="16" t="n"/>
      <c r="J113" s="16" t="n"/>
      <c r="K113" s="16" t="n"/>
      <c r="L113" s="16" t="n"/>
      <c r="M113" s="16">
        <f>IFERROR(INDEX(CatGroupGrp,MATCH($D113,CatGroupCat,0)),"")</f>
        <v/>
      </c>
    </row>
    <row r="114">
      <c r="A114" s="20" t="n"/>
      <c r="B114" s="16">
        <f>IF($A114="","",TEXT($A114,"MMMM"))</f>
        <v/>
      </c>
      <c r="C114" s="16" t="n"/>
      <c r="D114" s="16" t="n"/>
      <c r="E114" s="16" t="n"/>
      <c r="F114" s="16" t="n"/>
      <c r="G114" s="16" t="n"/>
      <c r="H114" s="21" t="n"/>
      <c r="I114" s="16" t="n"/>
      <c r="J114" s="16" t="n"/>
      <c r="K114" s="16" t="n"/>
      <c r="L114" s="16" t="n"/>
      <c r="M114" s="16">
        <f>IFERROR(INDEX(CatGroupGrp,MATCH($D114,CatGroupCat,0)),"")</f>
        <v/>
      </c>
    </row>
    <row r="115">
      <c r="A115" s="20" t="n"/>
      <c r="B115" s="16">
        <f>IF($A115="","",TEXT($A115,"MMMM"))</f>
        <v/>
      </c>
      <c r="C115" s="16" t="n"/>
      <c r="D115" s="16" t="n"/>
      <c r="E115" s="16" t="n"/>
      <c r="F115" s="16" t="n"/>
      <c r="G115" s="16" t="n"/>
      <c r="H115" s="21" t="n"/>
      <c r="I115" s="16" t="n"/>
      <c r="J115" s="16" t="n"/>
      <c r="K115" s="16" t="n"/>
      <c r="L115" s="16" t="n"/>
      <c r="M115" s="16">
        <f>IFERROR(INDEX(CatGroupGrp,MATCH($D115,CatGroupCat,0)),"")</f>
        <v/>
      </c>
    </row>
    <row r="116">
      <c r="A116" s="20" t="n"/>
      <c r="B116" s="16">
        <f>IF($A116="","",TEXT($A116,"MMMM"))</f>
        <v/>
      </c>
      <c r="C116" s="16" t="n"/>
      <c r="D116" s="16" t="n"/>
      <c r="E116" s="16" t="n"/>
      <c r="F116" s="16" t="n"/>
      <c r="G116" s="16" t="n"/>
      <c r="H116" s="21" t="n"/>
      <c r="I116" s="16" t="n"/>
      <c r="J116" s="16" t="n"/>
      <c r="K116" s="16" t="n"/>
      <c r="L116" s="16" t="n"/>
      <c r="M116" s="16">
        <f>IFERROR(INDEX(CatGroupGrp,MATCH($D116,CatGroupCat,0)),"")</f>
        <v/>
      </c>
    </row>
    <row r="117">
      <c r="A117" s="20" t="n"/>
      <c r="B117" s="16">
        <f>IF($A117="","",TEXT($A117,"MMMM"))</f>
        <v/>
      </c>
      <c r="C117" s="16" t="n"/>
      <c r="D117" s="16" t="n"/>
      <c r="E117" s="16" t="n"/>
      <c r="F117" s="16" t="n"/>
      <c r="G117" s="16" t="n"/>
      <c r="H117" s="21" t="n"/>
      <c r="I117" s="16" t="n"/>
      <c r="J117" s="16" t="n"/>
      <c r="K117" s="16" t="n"/>
      <c r="L117" s="16" t="n"/>
      <c r="M117" s="16">
        <f>IFERROR(INDEX(CatGroupGrp,MATCH($D117,CatGroupCat,0)),"")</f>
        <v/>
      </c>
    </row>
    <row r="118">
      <c r="A118" s="20" t="n"/>
      <c r="B118" s="16">
        <f>IF($A118="","",TEXT($A118,"MMMM"))</f>
        <v/>
      </c>
      <c r="C118" s="16" t="n"/>
      <c r="D118" s="16" t="n"/>
      <c r="E118" s="16" t="n"/>
      <c r="F118" s="16" t="n"/>
      <c r="G118" s="16" t="n"/>
      <c r="H118" s="21" t="n"/>
      <c r="I118" s="16" t="n"/>
      <c r="J118" s="16" t="n"/>
      <c r="K118" s="16" t="n"/>
      <c r="L118" s="16" t="n"/>
      <c r="M118" s="16">
        <f>IFERROR(INDEX(CatGroupGrp,MATCH($D118,CatGroupCat,0)),"")</f>
        <v/>
      </c>
    </row>
    <row r="119">
      <c r="A119" s="20" t="n"/>
      <c r="B119" s="16">
        <f>IF($A119="","",TEXT($A119,"MMMM"))</f>
        <v/>
      </c>
      <c r="C119" s="16" t="n"/>
      <c r="D119" s="16" t="n"/>
      <c r="E119" s="16" t="n"/>
      <c r="F119" s="16" t="n"/>
      <c r="G119" s="16" t="n"/>
      <c r="H119" s="21" t="n"/>
      <c r="I119" s="16" t="n"/>
      <c r="J119" s="16" t="n"/>
      <c r="K119" s="16" t="n"/>
      <c r="L119" s="16" t="n"/>
      <c r="M119" s="16">
        <f>IFERROR(INDEX(CatGroupGrp,MATCH($D119,CatGroupCat,0)),"")</f>
        <v/>
      </c>
    </row>
    <row r="120">
      <c r="A120" s="20" t="n"/>
      <c r="B120" s="16">
        <f>IF($A120="","",TEXT($A120,"MMMM"))</f>
        <v/>
      </c>
      <c r="C120" s="16" t="n"/>
      <c r="D120" s="16" t="n"/>
      <c r="E120" s="16" t="n"/>
      <c r="F120" s="16" t="n"/>
      <c r="G120" s="16" t="n"/>
      <c r="H120" s="21" t="n"/>
      <c r="I120" s="16" t="n"/>
      <c r="J120" s="16" t="n"/>
      <c r="K120" s="16" t="n"/>
      <c r="L120" s="16" t="n"/>
      <c r="M120" s="16">
        <f>IFERROR(INDEX(CatGroupGrp,MATCH($D120,CatGroupCat,0)),"")</f>
        <v/>
      </c>
    </row>
    <row r="121">
      <c r="A121" s="20" t="n"/>
      <c r="B121" s="16">
        <f>IF($A121="","",TEXT($A121,"MMMM"))</f>
        <v/>
      </c>
      <c r="C121" s="16" t="n"/>
      <c r="D121" s="16" t="n"/>
      <c r="E121" s="16" t="n"/>
      <c r="F121" s="16" t="n"/>
      <c r="G121" s="16" t="n"/>
      <c r="H121" s="21" t="n"/>
      <c r="I121" s="16" t="n"/>
      <c r="J121" s="16" t="n"/>
      <c r="K121" s="16" t="n"/>
      <c r="L121" s="16" t="n"/>
      <c r="M121" s="16">
        <f>IFERROR(INDEX(CatGroupGrp,MATCH($D121,CatGroupCat,0)),"")</f>
        <v/>
      </c>
    </row>
    <row r="122">
      <c r="A122" s="20" t="n"/>
      <c r="B122" s="16">
        <f>IF($A122="","",TEXT($A122,"MMMM"))</f>
        <v/>
      </c>
      <c r="C122" s="16" t="n"/>
      <c r="D122" s="16" t="n"/>
      <c r="E122" s="16" t="n"/>
      <c r="F122" s="16" t="n"/>
      <c r="G122" s="16" t="n"/>
      <c r="H122" s="21" t="n"/>
      <c r="I122" s="16" t="n"/>
      <c r="J122" s="16" t="n"/>
      <c r="K122" s="16" t="n"/>
      <c r="L122" s="16" t="n"/>
      <c r="M122" s="16">
        <f>IFERROR(INDEX(CatGroupGrp,MATCH($D122,CatGroupCat,0)),"")</f>
        <v/>
      </c>
    </row>
    <row r="123">
      <c r="A123" s="20" t="n"/>
      <c r="B123" s="16">
        <f>IF($A123="","",TEXT($A123,"MMMM"))</f>
        <v/>
      </c>
      <c r="C123" s="16" t="n"/>
      <c r="D123" s="16" t="n"/>
      <c r="E123" s="16" t="n"/>
      <c r="F123" s="16" t="n"/>
      <c r="G123" s="16" t="n"/>
      <c r="H123" s="21" t="n"/>
      <c r="I123" s="16" t="n"/>
      <c r="J123" s="16" t="n"/>
      <c r="K123" s="16" t="n"/>
      <c r="L123" s="16" t="n"/>
      <c r="M123" s="16">
        <f>IFERROR(INDEX(CatGroupGrp,MATCH($D123,CatGroupCat,0)),"")</f>
        <v/>
      </c>
    </row>
    <row r="124">
      <c r="A124" s="20" t="n"/>
      <c r="B124" s="16">
        <f>IF($A124="","",TEXT($A124,"MMMM"))</f>
        <v/>
      </c>
      <c r="C124" s="16" t="n"/>
      <c r="D124" s="16" t="n"/>
      <c r="E124" s="16" t="n"/>
      <c r="F124" s="16" t="n"/>
      <c r="G124" s="16" t="n"/>
      <c r="H124" s="21" t="n"/>
      <c r="I124" s="16" t="n"/>
      <c r="J124" s="16" t="n"/>
      <c r="K124" s="16" t="n"/>
      <c r="L124" s="16" t="n"/>
      <c r="M124" s="16">
        <f>IFERROR(INDEX(CatGroupGrp,MATCH($D124,CatGroupCat,0)),"")</f>
        <v/>
      </c>
    </row>
    <row r="125">
      <c r="A125" s="20" t="n"/>
      <c r="B125" s="16">
        <f>IF($A125="","",TEXT($A125,"MMMM"))</f>
        <v/>
      </c>
      <c r="C125" s="16" t="n"/>
      <c r="D125" s="16" t="n"/>
      <c r="E125" s="16" t="n"/>
      <c r="F125" s="16" t="n"/>
      <c r="G125" s="16" t="n"/>
      <c r="H125" s="21" t="n"/>
      <c r="I125" s="16" t="n"/>
      <c r="J125" s="16" t="n"/>
      <c r="K125" s="16" t="n"/>
      <c r="L125" s="16" t="n"/>
      <c r="M125" s="16">
        <f>IFERROR(INDEX(CatGroupGrp,MATCH($D125,CatGroupCat,0)),"")</f>
        <v/>
      </c>
    </row>
    <row r="126">
      <c r="A126" s="20" t="n"/>
      <c r="B126" s="16">
        <f>IF($A126="","",TEXT($A126,"MMMM"))</f>
        <v/>
      </c>
      <c r="C126" s="16" t="n"/>
      <c r="D126" s="16" t="n"/>
      <c r="E126" s="16" t="n"/>
      <c r="F126" s="16" t="n"/>
      <c r="G126" s="16" t="n"/>
      <c r="H126" s="21" t="n"/>
      <c r="I126" s="16" t="n"/>
      <c r="J126" s="16" t="n"/>
      <c r="K126" s="16" t="n"/>
      <c r="L126" s="16" t="n"/>
      <c r="M126" s="16">
        <f>IFERROR(INDEX(CatGroupGrp,MATCH($D126,CatGroupCat,0)),"")</f>
        <v/>
      </c>
    </row>
    <row r="127">
      <c r="A127" s="20" t="n"/>
      <c r="B127" s="16">
        <f>IF($A127="","",TEXT($A127,"MMMM"))</f>
        <v/>
      </c>
      <c r="C127" s="16" t="n"/>
      <c r="D127" s="16" t="n"/>
      <c r="E127" s="16" t="n"/>
      <c r="F127" s="16" t="n"/>
      <c r="G127" s="16" t="n"/>
      <c r="H127" s="21" t="n"/>
      <c r="I127" s="16" t="n"/>
      <c r="J127" s="16" t="n"/>
      <c r="K127" s="16" t="n"/>
      <c r="L127" s="16" t="n"/>
      <c r="M127" s="16">
        <f>IFERROR(INDEX(CatGroupGrp,MATCH($D127,CatGroupCat,0)),"")</f>
        <v/>
      </c>
    </row>
    <row r="128">
      <c r="A128" s="20" t="n"/>
      <c r="B128" s="16">
        <f>IF($A128="","",TEXT($A128,"MMMM"))</f>
        <v/>
      </c>
      <c r="C128" s="16" t="n"/>
      <c r="D128" s="16" t="n"/>
      <c r="E128" s="16" t="n"/>
      <c r="F128" s="16" t="n"/>
      <c r="G128" s="16" t="n"/>
      <c r="H128" s="21" t="n"/>
      <c r="I128" s="16" t="n"/>
      <c r="J128" s="16" t="n"/>
      <c r="K128" s="16" t="n"/>
      <c r="L128" s="16" t="n"/>
      <c r="M128" s="16">
        <f>IFERROR(INDEX(CatGroupGrp,MATCH($D128,CatGroupCat,0)),"")</f>
        <v/>
      </c>
    </row>
    <row r="129">
      <c r="A129" s="20" t="n"/>
      <c r="B129" s="16">
        <f>IF($A129="","",TEXT($A129,"MMMM"))</f>
        <v/>
      </c>
      <c r="C129" s="16" t="n"/>
      <c r="D129" s="16" t="n"/>
      <c r="E129" s="16" t="n"/>
      <c r="F129" s="16" t="n"/>
      <c r="G129" s="16" t="n"/>
      <c r="H129" s="21" t="n"/>
      <c r="I129" s="16" t="n"/>
      <c r="J129" s="16" t="n"/>
      <c r="K129" s="16" t="n"/>
      <c r="L129" s="16" t="n"/>
      <c r="M129" s="16">
        <f>IFERROR(INDEX(CatGroupGrp,MATCH($D129,CatGroupCat,0)),"")</f>
        <v/>
      </c>
    </row>
    <row r="130">
      <c r="A130" s="20" t="n"/>
      <c r="B130" s="16">
        <f>IF($A130="","",TEXT($A130,"MMMM"))</f>
        <v/>
      </c>
      <c r="C130" s="16" t="n"/>
      <c r="D130" s="16" t="n"/>
      <c r="E130" s="16" t="n"/>
      <c r="F130" s="16" t="n"/>
      <c r="G130" s="16" t="n"/>
      <c r="H130" s="21" t="n"/>
      <c r="I130" s="16" t="n"/>
      <c r="J130" s="16" t="n"/>
      <c r="K130" s="16" t="n"/>
      <c r="L130" s="16" t="n"/>
      <c r="M130" s="16">
        <f>IFERROR(INDEX(CatGroupGrp,MATCH($D130,CatGroupCat,0)),"")</f>
        <v/>
      </c>
    </row>
    <row r="131">
      <c r="A131" s="20" t="n"/>
      <c r="B131" s="16">
        <f>IF($A131="","",TEXT($A131,"MMMM"))</f>
        <v/>
      </c>
      <c r="C131" s="16" t="n"/>
      <c r="D131" s="16" t="n"/>
      <c r="E131" s="16" t="n"/>
      <c r="F131" s="16" t="n"/>
      <c r="G131" s="16" t="n"/>
      <c r="H131" s="21" t="n"/>
      <c r="I131" s="16" t="n"/>
      <c r="J131" s="16" t="n"/>
      <c r="K131" s="16" t="n"/>
      <c r="L131" s="16" t="n"/>
      <c r="M131" s="16">
        <f>IFERROR(INDEX(CatGroupGrp,MATCH($D131,CatGroupCat,0)),"")</f>
        <v/>
      </c>
    </row>
    <row r="132">
      <c r="A132" s="20" t="n"/>
      <c r="B132" s="16">
        <f>IF($A132="","",TEXT($A132,"MMMM"))</f>
        <v/>
      </c>
      <c r="C132" s="16" t="n"/>
      <c r="D132" s="16" t="n"/>
      <c r="E132" s="16" t="n"/>
      <c r="F132" s="16" t="n"/>
      <c r="G132" s="16" t="n"/>
      <c r="H132" s="21" t="n"/>
      <c r="I132" s="16" t="n"/>
      <c r="J132" s="16" t="n"/>
      <c r="K132" s="16" t="n"/>
      <c r="L132" s="16" t="n"/>
      <c r="M132" s="16">
        <f>IFERROR(INDEX(CatGroupGrp,MATCH($D132,CatGroupCat,0)),"")</f>
        <v/>
      </c>
    </row>
    <row r="133">
      <c r="A133" s="20" t="n"/>
      <c r="B133" s="16">
        <f>IF($A133="","",TEXT($A133,"MMMM"))</f>
        <v/>
      </c>
      <c r="C133" s="16" t="n"/>
      <c r="D133" s="16" t="n"/>
      <c r="E133" s="16" t="n"/>
      <c r="F133" s="16" t="n"/>
      <c r="G133" s="16" t="n"/>
      <c r="H133" s="21" t="n"/>
      <c r="I133" s="16" t="n"/>
      <c r="J133" s="16" t="n"/>
      <c r="K133" s="16" t="n"/>
      <c r="L133" s="16" t="n"/>
      <c r="M133" s="16">
        <f>IFERROR(INDEX(CatGroupGrp,MATCH($D133,CatGroupCat,0)),"")</f>
        <v/>
      </c>
    </row>
    <row r="134">
      <c r="A134" s="20" t="n"/>
      <c r="B134" s="16">
        <f>IF($A134="","",TEXT($A134,"MMMM"))</f>
        <v/>
      </c>
      <c r="C134" s="16" t="n"/>
      <c r="D134" s="16" t="n"/>
      <c r="E134" s="16" t="n"/>
      <c r="F134" s="16" t="n"/>
      <c r="G134" s="16" t="n"/>
      <c r="H134" s="21" t="n"/>
      <c r="I134" s="16" t="n"/>
      <c r="J134" s="16" t="n"/>
      <c r="K134" s="16" t="n"/>
      <c r="L134" s="16" t="n"/>
      <c r="M134" s="16">
        <f>IFERROR(INDEX(CatGroupGrp,MATCH($D134,CatGroupCat,0)),"")</f>
        <v/>
      </c>
    </row>
    <row r="135">
      <c r="A135" s="20" t="n"/>
      <c r="B135" s="16">
        <f>IF($A135="","",TEXT($A135,"MMMM"))</f>
        <v/>
      </c>
      <c r="C135" s="16" t="n"/>
      <c r="D135" s="16" t="n"/>
      <c r="E135" s="16" t="n"/>
      <c r="F135" s="16" t="n"/>
      <c r="G135" s="16" t="n"/>
      <c r="H135" s="21" t="n"/>
      <c r="I135" s="16" t="n"/>
      <c r="J135" s="16" t="n"/>
      <c r="K135" s="16" t="n"/>
      <c r="L135" s="16" t="n"/>
      <c r="M135" s="16">
        <f>IFERROR(INDEX(CatGroupGrp,MATCH($D135,CatGroupCat,0)),"")</f>
        <v/>
      </c>
    </row>
    <row r="136">
      <c r="A136" s="20" t="n"/>
      <c r="B136" s="16">
        <f>IF($A136="","",TEXT($A136,"MMMM"))</f>
        <v/>
      </c>
      <c r="C136" s="16" t="n"/>
      <c r="D136" s="16" t="n"/>
      <c r="E136" s="16" t="n"/>
      <c r="F136" s="16" t="n"/>
      <c r="G136" s="16" t="n"/>
      <c r="H136" s="21" t="n"/>
      <c r="I136" s="16" t="n"/>
      <c r="J136" s="16" t="n"/>
      <c r="K136" s="16" t="n"/>
      <c r="L136" s="16" t="n"/>
      <c r="M136" s="16">
        <f>IFERROR(INDEX(CatGroupGrp,MATCH($D136,CatGroupCat,0)),"")</f>
        <v/>
      </c>
    </row>
    <row r="137">
      <c r="A137" s="20" t="n"/>
      <c r="B137" s="16">
        <f>IF($A137="","",TEXT($A137,"MMMM"))</f>
        <v/>
      </c>
      <c r="C137" s="16" t="n"/>
      <c r="D137" s="16" t="n"/>
      <c r="E137" s="16" t="n"/>
      <c r="F137" s="16" t="n"/>
      <c r="G137" s="16" t="n"/>
      <c r="H137" s="21" t="n"/>
      <c r="I137" s="16" t="n"/>
      <c r="J137" s="16" t="n"/>
      <c r="K137" s="16" t="n"/>
      <c r="L137" s="16" t="n"/>
      <c r="M137" s="16">
        <f>IFERROR(INDEX(CatGroupGrp,MATCH($D137,CatGroupCat,0)),"")</f>
        <v/>
      </c>
    </row>
    <row r="138">
      <c r="A138" s="20" t="n"/>
      <c r="B138" s="16">
        <f>IF($A138="","",TEXT($A138,"MMMM"))</f>
        <v/>
      </c>
      <c r="C138" s="16" t="n"/>
      <c r="D138" s="16" t="n"/>
      <c r="E138" s="16" t="n"/>
      <c r="F138" s="16" t="n"/>
      <c r="G138" s="16" t="n"/>
      <c r="H138" s="21" t="n"/>
      <c r="I138" s="16" t="n"/>
      <c r="J138" s="16" t="n"/>
      <c r="K138" s="16" t="n"/>
      <c r="L138" s="16" t="n"/>
      <c r="M138" s="16">
        <f>IFERROR(INDEX(CatGroupGrp,MATCH($D138,CatGroupCat,0)),"")</f>
        <v/>
      </c>
    </row>
    <row r="139">
      <c r="A139" s="20" t="n"/>
      <c r="B139" s="16">
        <f>IF($A139="","",TEXT($A139,"MMMM"))</f>
        <v/>
      </c>
      <c r="C139" s="16" t="n"/>
      <c r="D139" s="16" t="n"/>
      <c r="E139" s="16" t="n"/>
      <c r="F139" s="16" t="n"/>
      <c r="G139" s="16" t="n"/>
      <c r="H139" s="21" t="n"/>
      <c r="I139" s="16" t="n"/>
      <c r="J139" s="16" t="n"/>
      <c r="K139" s="16" t="n"/>
      <c r="L139" s="16" t="n"/>
      <c r="M139" s="16">
        <f>IFERROR(INDEX(CatGroupGrp,MATCH($D139,CatGroupCat,0)),"")</f>
        <v/>
      </c>
    </row>
    <row r="140">
      <c r="A140" s="20" t="n"/>
      <c r="B140" s="16">
        <f>IF($A140="","",TEXT($A140,"MMMM"))</f>
        <v/>
      </c>
      <c r="C140" s="16" t="n"/>
      <c r="D140" s="16" t="n"/>
      <c r="E140" s="16" t="n"/>
      <c r="F140" s="16" t="n"/>
      <c r="G140" s="16" t="n"/>
      <c r="H140" s="21" t="n"/>
      <c r="I140" s="16" t="n"/>
      <c r="J140" s="16" t="n"/>
      <c r="K140" s="16" t="n"/>
      <c r="L140" s="16" t="n"/>
      <c r="M140" s="16">
        <f>IFERROR(INDEX(CatGroupGrp,MATCH($D140,CatGroupCat,0)),"")</f>
        <v/>
      </c>
    </row>
    <row r="141">
      <c r="A141" s="20" t="n"/>
      <c r="B141" s="16">
        <f>IF($A141="","",TEXT($A141,"MMMM"))</f>
        <v/>
      </c>
      <c r="C141" s="16" t="n"/>
      <c r="D141" s="16" t="n"/>
      <c r="E141" s="16" t="n"/>
      <c r="F141" s="16" t="n"/>
      <c r="G141" s="16" t="n"/>
      <c r="H141" s="21" t="n"/>
      <c r="I141" s="16" t="n"/>
      <c r="J141" s="16" t="n"/>
      <c r="K141" s="16" t="n"/>
      <c r="L141" s="16" t="n"/>
      <c r="M141" s="16">
        <f>IFERROR(INDEX(CatGroupGrp,MATCH($D141,CatGroupCat,0)),"")</f>
        <v/>
      </c>
    </row>
    <row r="142">
      <c r="A142" s="20" t="n"/>
      <c r="B142" s="16">
        <f>IF($A142="","",TEXT($A142,"MMMM"))</f>
        <v/>
      </c>
      <c r="C142" s="16" t="n"/>
      <c r="D142" s="16" t="n"/>
      <c r="E142" s="16" t="n"/>
      <c r="F142" s="16" t="n"/>
      <c r="G142" s="16" t="n"/>
      <c r="H142" s="21" t="n"/>
      <c r="I142" s="16" t="n"/>
      <c r="J142" s="16" t="n"/>
      <c r="K142" s="16" t="n"/>
      <c r="L142" s="16" t="n"/>
      <c r="M142" s="16">
        <f>IFERROR(INDEX(CatGroupGrp,MATCH($D142,CatGroupCat,0)),"")</f>
        <v/>
      </c>
    </row>
    <row r="143">
      <c r="A143" s="20" t="n"/>
      <c r="B143" s="16">
        <f>IF($A143="","",TEXT($A143,"MMMM"))</f>
        <v/>
      </c>
      <c r="C143" s="16" t="n"/>
      <c r="D143" s="16" t="n"/>
      <c r="E143" s="16" t="n"/>
      <c r="F143" s="16" t="n"/>
      <c r="G143" s="16" t="n"/>
      <c r="H143" s="21" t="n"/>
      <c r="I143" s="16" t="n"/>
      <c r="J143" s="16" t="n"/>
      <c r="K143" s="16" t="n"/>
      <c r="L143" s="16" t="n"/>
      <c r="M143" s="16">
        <f>IFERROR(INDEX(CatGroupGrp,MATCH($D143,CatGroupCat,0)),"")</f>
        <v/>
      </c>
    </row>
    <row r="144">
      <c r="A144" s="20" t="n"/>
      <c r="B144" s="16">
        <f>IF($A144="","",TEXT($A144,"MMMM"))</f>
        <v/>
      </c>
      <c r="C144" s="16" t="n"/>
      <c r="D144" s="16" t="n"/>
      <c r="E144" s="16" t="n"/>
      <c r="F144" s="16" t="n"/>
      <c r="G144" s="16" t="n"/>
      <c r="H144" s="21" t="n"/>
      <c r="I144" s="16" t="n"/>
      <c r="J144" s="16" t="n"/>
      <c r="K144" s="16" t="n"/>
      <c r="L144" s="16" t="n"/>
      <c r="M144" s="16">
        <f>IFERROR(INDEX(CatGroupGrp,MATCH($D144,CatGroupCat,0)),"")</f>
        <v/>
      </c>
    </row>
    <row r="145">
      <c r="A145" s="20" t="n"/>
      <c r="B145" s="16">
        <f>IF($A145="","",TEXT($A145,"MMMM"))</f>
        <v/>
      </c>
      <c r="C145" s="16" t="n"/>
      <c r="D145" s="16" t="n"/>
      <c r="E145" s="16" t="n"/>
      <c r="F145" s="16" t="n"/>
      <c r="G145" s="16" t="n"/>
      <c r="H145" s="21" t="n"/>
      <c r="I145" s="16" t="n"/>
      <c r="J145" s="16" t="n"/>
      <c r="K145" s="16" t="n"/>
      <c r="L145" s="16" t="n"/>
      <c r="M145" s="16">
        <f>IFERROR(INDEX(CatGroupGrp,MATCH($D145,CatGroupCat,0)),"")</f>
        <v/>
      </c>
    </row>
    <row r="146">
      <c r="A146" s="20" t="n"/>
      <c r="B146" s="16">
        <f>IF($A146="","",TEXT($A146,"MMMM"))</f>
        <v/>
      </c>
      <c r="C146" s="16" t="n"/>
      <c r="D146" s="16" t="n"/>
      <c r="E146" s="16" t="n"/>
      <c r="F146" s="16" t="n"/>
      <c r="G146" s="16" t="n"/>
      <c r="H146" s="21" t="n"/>
      <c r="I146" s="16" t="n"/>
      <c r="J146" s="16" t="n"/>
      <c r="K146" s="16" t="n"/>
      <c r="L146" s="16" t="n"/>
      <c r="M146" s="16">
        <f>IFERROR(INDEX(CatGroupGrp,MATCH($D146,CatGroupCat,0)),"")</f>
        <v/>
      </c>
    </row>
    <row r="147">
      <c r="A147" s="20" t="n"/>
      <c r="B147" s="16">
        <f>IF($A147="","",TEXT($A147,"MMMM"))</f>
        <v/>
      </c>
      <c r="C147" s="16" t="n"/>
      <c r="D147" s="16" t="n"/>
      <c r="E147" s="16" t="n"/>
      <c r="F147" s="16" t="n"/>
      <c r="G147" s="16" t="n"/>
      <c r="H147" s="21" t="n"/>
      <c r="I147" s="16" t="n"/>
      <c r="J147" s="16" t="n"/>
      <c r="K147" s="16" t="n"/>
      <c r="L147" s="16" t="n"/>
      <c r="M147" s="16">
        <f>IFERROR(INDEX(CatGroupGrp,MATCH($D147,CatGroupCat,0)),"")</f>
        <v/>
      </c>
    </row>
    <row r="148">
      <c r="A148" s="20" t="n"/>
      <c r="B148" s="16">
        <f>IF($A148="","",TEXT($A148,"MMMM"))</f>
        <v/>
      </c>
      <c r="C148" s="16" t="n"/>
      <c r="D148" s="16" t="n"/>
      <c r="E148" s="16" t="n"/>
      <c r="F148" s="16" t="n"/>
      <c r="G148" s="16" t="n"/>
      <c r="H148" s="21" t="n"/>
      <c r="I148" s="16" t="n"/>
      <c r="J148" s="16" t="n"/>
      <c r="K148" s="16" t="n"/>
      <c r="L148" s="16" t="n"/>
      <c r="M148" s="16">
        <f>IFERROR(INDEX(CatGroupGrp,MATCH($D148,CatGroupCat,0)),"")</f>
        <v/>
      </c>
    </row>
    <row r="149">
      <c r="A149" s="20" t="n"/>
      <c r="B149" s="16">
        <f>IF($A149="","",TEXT($A149,"MMMM"))</f>
        <v/>
      </c>
      <c r="C149" s="16" t="n"/>
      <c r="D149" s="16" t="n"/>
      <c r="E149" s="16" t="n"/>
      <c r="F149" s="16" t="n"/>
      <c r="G149" s="16" t="n"/>
      <c r="H149" s="21" t="n"/>
      <c r="I149" s="16" t="n"/>
      <c r="J149" s="16" t="n"/>
      <c r="K149" s="16" t="n"/>
      <c r="L149" s="16" t="n"/>
      <c r="M149" s="16">
        <f>IFERROR(INDEX(CatGroupGrp,MATCH($D149,CatGroupCat,0)),"")</f>
        <v/>
      </c>
    </row>
    <row r="150">
      <c r="A150" s="20" t="n"/>
      <c r="B150" s="16">
        <f>IF($A150="","",TEXT($A150,"MMMM"))</f>
        <v/>
      </c>
      <c r="C150" s="16" t="n"/>
      <c r="D150" s="16" t="n"/>
      <c r="E150" s="16" t="n"/>
      <c r="F150" s="16" t="n"/>
      <c r="G150" s="16" t="n"/>
      <c r="H150" s="21" t="n"/>
      <c r="I150" s="16" t="n"/>
      <c r="J150" s="16" t="n"/>
      <c r="K150" s="16" t="n"/>
      <c r="L150" s="16" t="n"/>
      <c r="M150" s="16">
        <f>IFERROR(INDEX(CatGroupGrp,MATCH($D150,CatGroupCat,0)),"")</f>
        <v/>
      </c>
    </row>
    <row r="151">
      <c r="A151" s="20" t="n"/>
      <c r="B151" s="16">
        <f>IF($A151="","",TEXT($A151,"MMMM"))</f>
        <v/>
      </c>
      <c r="C151" s="16" t="n"/>
      <c r="D151" s="16" t="n"/>
      <c r="E151" s="16" t="n"/>
      <c r="F151" s="16" t="n"/>
      <c r="G151" s="16" t="n"/>
      <c r="H151" s="21" t="n"/>
      <c r="I151" s="16" t="n"/>
      <c r="J151" s="16" t="n"/>
      <c r="K151" s="16" t="n"/>
      <c r="L151" s="16" t="n"/>
      <c r="M151" s="16">
        <f>IFERROR(INDEX(CatGroupGrp,MATCH($D151,CatGroupCat,0)),"")</f>
        <v/>
      </c>
    </row>
    <row r="152">
      <c r="A152" s="20" t="n"/>
      <c r="B152" s="16">
        <f>IF($A152="","",TEXT($A152,"MMMM"))</f>
        <v/>
      </c>
      <c r="C152" s="16" t="n"/>
      <c r="D152" s="16" t="n"/>
      <c r="E152" s="16" t="n"/>
      <c r="F152" s="16" t="n"/>
      <c r="G152" s="16" t="n"/>
      <c r="H152" s="21" t="n"/>
      <c r="I152" s="16" t="n"/>
      <c r="J152" s="16" t="n"/>
      <c r="K152" s="16" t="n"/>
      <c r="L152" s="16" t="n"/>
      <c r="M152" s="16">
        <f>IFERROR(INDEX(CatGroupGrp,MATCH($D152,CatGroupCat,0)),"")</f>
        <v/>
      </c>
    </row>
    <row r="153">
      <c r="A153" s="20" t="n"/>
      <c r="B153" s="16">
        <f>IF($A153="","",TEXT($A153,"MMMM"))</f>
        <v/>
      </c>
      <c r="C153" s="16" t="n"/>
      <c r="D153" s="16" t="n"/>
      <c r="E153" s="16" t="n"/>
      <c r="F153" s="16" t="n"/>
      <c r="G153" s="16" t="n"/>
      <c r="H153" s="21" t="n"/>
      <c r="I153" s="16" t="n"/>
      <c r="J153" s="16" t="n"/>
      <c r="K153" s="16" t="n"/>
      <c r="L153" s="16" t="n"/>
      <c r="M153" s="16">
        <f>IFERROR(INDEX(CatGroupGrp,MATCH($D153,CatGroupCat,0)),"")</f>
        <v/>
      </c>
    </row>
    <row r="154">
      <c r="A154" s="20" t="n"/>
      <c r="B154" s="16">
        <f>IF($A154="","",TEXT($A154,"MMMM"))</f>
        <v/>
      </c>
      <c r="C154" s="16" t="n"/>
      <c r="D154" s="16" t="n"/>
      <c r="E154" s="16" t="n"/>
      <c r="F154" s="16" t="n"/>
      <c r="G154" s="16" t="n"/>
      <c r="H154" s="21" t="n"/>
      <c r="I154" s="16" t="n"/>
      <c r="J154" s="16" t="n"/>
      <c r="K154" s="16" t="n"/>
      <c r="L154" s="16" t="n"/>
      <c r="M154" s="16">
        <f>IFERROR(INDEX(CatGroupGrp,MATCH($D154,CatGroupCat,0)),"")</f>
        <v/>
      </c>
    </row>
    <row r="155">
      <c r="A155" s="20" t="n"/>
      <c r="B155" s="16">
        <f>IF($A155="","",TEXT($A155,"MMMM"))</f>
        <v/>
      </c>
      <c r="C155" s="16" t="n"/>
      <c r="D155" s="16" t="n"/>
      <c r="E155" s="16" t="n"/>
      <c r="F155" s="16" t="n"/>
      <c r="G155" s="16" t="n"/>
      <c r="H155" s="21" t="n"/>
      <c r="I155" s="16" t="n"/>
      <c r="J155" s="16" t="n"/>
      <c r="K155" s="16" t="n"/>
      <c r="L155" s="16" t="n"/>
      <c r="M155" s="16">
        <f>IFERROR(INDEX(CatGroupGrp,MATCH($D155,CatGroupCat,0)),"")</f>
        <v/>
      </c>
    </row>
    <row r="156">
      <c r="A156" s="20" t="n"/>
      <c r="B156" s="16">
        <f>IF($A156="","",TEXT($A156,"MMMM"))</f>
        <v/>
      </c>
      <c r="C156" s="16" t="n"/>
      <c r="D156" s="16" t="n"/>
      <c r="E156" s="16" t="n"/>
      <c r="F156" s="16" t="n"/>
      <c r="G156" s="16" t="n"/>
      <c r="H156" s="21" t="n"/>
      <c r="I156" s="16" t="n"/>
      <c r="J156" s="16" t="n"/>
      <c r="K156" s="16" t="n"/>
      <c r="L156" s="16" t="n"/>
      <c r="M156" s="16">
        <f>IFERROR(INDEX(CatGroupGrp,MATCH($D156,CatGroupCat,0)),"")</f>
        <v/>
      </c>
    </row>
    <row r="157">
      <c r="A157" s="20" t="n"/>
      <c r="B157" s="16">
        <f>IF($A157="","",TEXT($A157,"MMMM"))</f>
        <v/>
      </c>
      <c r="C157" s="16" t="n"/>
      <c r="D157" s="16" t="n"/>
      <c r="E157" s="16" t="n"/>
      <c r="F157" s="16" t="n"/>
      <c r="G157" s="16" t="n"/>
      <c r="H157" s="21" t="n"/>
      <c r="I157" s="16" t="n"/>
      <c r="J157" s="16" t="n"/>
      <c r="K157" s="16" t="n"/>
      <c r="L157" s="16" t="n"/>
      <c r="M157" s="16">
        <f>IFERROR(INDEX(CatGroupGrp,MATCH($D157,CatGroupCat,0)),"")</f>
        <v/>
      </c>
    </row>
    <row r="158">
      <c r="A158" s="20" t="n"/>
      <c r="B158" s="16">
        <f>IF($A158="","",TEXT($A158,"MMMM"))</f>
        <v/>
      </c>
      <c r="C158" s="16" t="n"/>
      <c r="D158" s="16" t="n"/>
      <c r="E158" s="16" t="n"/>
      <c r="F158" s="16" t="n"/>
      <c r="G158" s="16" t="n"/>
      <c r="H158" s="21" t="n"/>
      <c r="I158" s="16" t="n"/>
      <c r="J158" s="16" t="n"/>
      <c r="K158" s="16" t="n"/>
      <c r="L158" s="16" t="n"/>
      <c r="M158" s="16">
        <f>IFERROR(INDEX(CatGroupGrp,MATCH($D158,CatGroupCat,0)),"")</f>
        <v/>
      </c>
    </row>
    <row r="159">
      <c r="A159" s="20" t="n"/>
      <c r="B159" s="16">
        <f>IF($A159="","",TEXT($A159,"MMMM"))</f>
        <v/>
      </c>
      <c r="C159" s="16" t="n"/>
      <c r="D159" s="16" t="n"/>
      <c r="E159" s="16" t="n"/>
      <c r="F159" s="16" t="n"/>
      <c r="G159" s="16" t="n"/>
      <c r="H159" s="21" t="n"/>
      <c r="I159" s="16" t="n"/>
      <c r="J159" s="16" t="n"/>
      <c r="K159" s="16" t="n"/>
      <c r="L159" s="16" t="n"/>
      <c r="M159" s="16">
        <f>IFERROR(INDEX(CatGroupGrp,MATCH($D159,CatGroupCat,0)),"")</f>
        <v/>
      </c>
    </row>
    <row r="160">
      <c r="A160" s="20" t="n"/>
      <c r="B160" s="16">
        <f>IF($A160="","",TEXT($A160,"MMMM"))</f>
        <v/>
      </c>
      <c r="C160" s="16" t="n"/>
      <c r="D160" s="16" t="n"/>
      <c r="E160" s="16" t="n"/>
      <c r="F160" s="16" t="n"/>
      <c r="G160" s="16" t="n"/>
      <c r="H160" s="21" t="n"/>
      <c r="I160" s="16" t="n"/>
      <c r="J160" s="16" t="n"/>
      <c r="K160" s="16" t="n"/>
      <c r="L160" s="16" t="n"/>
      <c r="M160" s="16">
        <f>IFERROR(INDEX(CatGroupGrp,MATCH($D160,CatGroupCat,0)),"")</f>
        <v/>
      </c>
    </row>
    <row r="161">
      <c r="A161" s="20" t="n"/>
      <c r="B161" s="16">
        <f>IF($A161="","",TEXT($A161,"MMMM"))</f>
        <v/>
      </c>
      <c r="C161" s="16" t="n"/>
      <c r="D161" s="16" t="n"/>
      <c r="E161" s="16" t="n"/>
      <c r="F161" s="16" t="n"/>
      <c r="G161" s="16" t="n"/>
      <c r="H161" s="21" t="n"/>
      <c r="I161" s="16" t="n"/>
      <c r="J161" s="16" t="n"/>
      <c r="K161" s="16" t="n"/>
      <c r="L161" s="16" t="n"/>
      <c r="M161" s="16">
        <f>IFERROR(INDEX(CatGroupGrp,MATCH($D161,CatGroupCat,0)),"")</f>
        <v/>
      </c>
    </row>
    <row r="162">
      <c r="A162" s="20" t="n"/>
      <c r="B162" s="16">
        <f>IF($A162="","",TEXT($A162,"MMMM"))</f>
        <v/>
      </c>
      <c r="C162" s="16" t="n"/>
      <c r="D162" s="16" t="n"/>
      <c r="E162" s="16" t="n"/>
      <c r="F162" s="16" t="n"/>
      <c r="G162" s="16" t="n"/>
      <c r="H162" s="21" t="n"/>
      <c r="I162" s="16" t="n"/>
      <c r="J162" s="16" t="n"/>
      <c r="K162" s="16" t="n"/>
      <c r="L162" s="16" t="n"/>
      <c r="M162" s="16">
        <f>IFERROR(INDEX(CatGroupGrp,MATCH($D162,CatGroupCat,0)),"")</f>
        <v/>
      </c>
    </row>
    <row r="163">
      <c r="A163" s="20" t="n"/>
      <c r="B163" s="16">
        <f>IF($A163="","",TEXT($A163,"MMMM"))</f>
        <v/>
      </c>
      <c r="C163" s="16" t="n"/>
      <c r="D163" s="16" t="n"/>
      <c r="E163" s="16" t="n"/>
      <c r="F163" s="16" t="n"/>
      <c r="G163" s="16" t="n"/>
      <c r="H163" s="21" t="n"/>
      <c r="I163" s="16" t="n"/>
      <c r="J163" s="16" t="n"/>
      <c r="K163" s="16" t="n"/>
      <c r="L163" s="16" t="n"/>
      <c r="M163" s="16">
        <f>IFERROR(INDEX(CatGroupGrp,MATCH($D163,CatGroupCat,0)),"")</f>
        <v/>
      </c>
    </row>
    <row r="164">
      <c r="A164" s="20" t="n"/>
      <c r="B164" s="16">
        <f>IF($A164="","",TEXT($A164,"MMMM"))</f>
        <v/>
      </c>
      <c r="C164" s="16" t="n"/>
      <c r="D164" s="16" t="n"/>
      <c r="E164" s="16" t="n"/>
      <c r="F164" s="16" t="n"/>
      <c r="G164" s="16" t="n"/>
      <c r="H164" s="21" t="n"/>
      <c r="I164" s="16" t="n"/>
      <c r="J164" s="16" t="n"/>
      <c r="K164" s="16" t="n"/>
      <c r="L164" s="16" t="n"/>
      <c r="M164" s="16">
        <f>IFERROR(INDEX(CatGroupGrp,MATCH($D164,CatGroupCat,0)),"")</f>
        <v/>
      </c>
    </row>
    <row r="165">
      <c r="A165" s="20" t="n"/>
      <c r="B165" s="16">
        <f>IF($A165="","",TEXT($A165,"MMMM"))</f>
        <v/>
      </c>
      <c r="C165" s="16" t="n"/>
      <c r="D165" s="16" t="n"/>
      <c r="E165" s="16" t="n"/>
      <c r="F165" s="16" t="n"/>
      <c r="G165" s="16" t="n"/>
      <c r="H165" s="21" t="n"/>
      <c r="I165" s="16" t="n"/>
      <c r="J165" s="16" t="n"/>
      <c r="K165" s="16" t="n"/>
      <c r="L165" s="16" t="n"/>
      <c r="M165" s="16">
        <f>IFERROR(INDEX(CatGroupGrp,MATCH($D165,CatGroupCat,0)),"")</f>
        <v/>
      </c>
    </row>
    <row r="166">
      <c r="A166" s="20" t="n"/>
      <c r="B166" s="16">
        <f>IF($A166="","",TEXT($A166,"MMMM"))</f>
        <v/>
      </c>
      <c r="C166" s="16" t="n"/>
      <c r="D166" s="16" t="n"/>
      <c r="E166" s="16" t="n"/>
      <c r="F166" s="16" t="n"/>
      <c r="G166" s="16" t="n"/>
      <c r="H166" s="21" t="n"/>
      <c r="I166" s="16" t="n"/>
      <c r="J166" s="16" t="n"/>
      <c r="K166" s="16" t="n"/>
      <c r="L166" s="16" t="n"/>
      <c r="M166" s="16">
        <f>IFERROR(INDEX(CatGroupGrp,MATCH($D166,CatGroupCat,0)),"")</f>
        <v/>
      </c>
    </row>
    <row r="167">
      <c r="A167" s="20" t="n"/>
      <c r="B167" s="16">
        <f>IF($A167="","",TEXT($A167,"MMMM"))</f>
        <v/>
      </c>
      <c r="C167" s="16" t="n"/>
      <c r="D167" s="16" t="n"/>
      <c r="E167" s="16" t="n"/>
      <c r="F167" s="16" t="n"/>
      <c r="G167" s="16" t="n"/>
      <c r="H167" s="21" t="n"/>
      <c r="I167" s="16" t="n"/>
      <c r="J167" s="16" t="n"/>
      <c r="K167" s="16" t="n"/>
      <c r="L167" s="16" t="n"/>
      <c r="M167" s="16">
        <f>IFERROR(INDEX(CatGroupGrp,MATCH($D167,CatGroupCat,0)),"")</f>
        <v/>
      </c>
    </row>
    <row r="168">
      <c r="A168" s="20" t="n"/>
      <c r="B168" s="16">
        <f>IF($A168="","",TEXT($A168,"MMMM"))</f>
        <v/>
      </c>
      <c r="C168" s="16" t="n"/>
      <c r="D168" s="16" t="n"/>
      <c r="E168" s="16" t="n"/>
      <c r="F168" s="16" t="n"/>
      <c r="G168" s="16" t="n"/>
      <c r="H168" s="21" t="n"/>
      <c r="I168" s="16" t="n"/>
      <c r="J168" s="16" t="n"/>
      <c r="K168" s="16" t="n"/>
      <c r="L168" s="16" t="n"/>
      <c r="M168" s="16">
        <f>IFERROR(INDEX(CatGroupGrp,MATCH($D168,CatGroupCat,0)),"")</f>
        <v/>
      </c>
    </row>
    <row r="169">
      <c r="A169" s="20" t="n"/>
      <c r="B169" s="16">
        <f>IF($A169="","",TEXT($A169,"MMMM"))</f>
        <v/>
      </c>
      <c r="C169" s="16" t="n"/>
      <c r="D169" s="16" t="n"/>
      <c r="E169" s="16" t="n"/>
      <c r="F169" s="16" t="n"/>
      <c r="G169" s="16" t="n"/>
      <c r="H169" s="21" t="n"/>
      <c r="I169" s="16" t="n"/>
      <c r="J169" s="16" t="n"/>
      <c r="K169" s="16" t="n"/>
      <c r="L169" s="16" t="n"/>
      <c r="M169" s="16">
        <f>IFERROR(INDEX(CatGroupGrp,MATCH($D169,CatGroupCat,0)),"")</f>
        <v/>
      </c>
    </row>
    <row r="170">
      <c r="A170" s="20" t="n"/>
      <c r="B170" s="16">
        <f>IF($A170="","",TEXT($A170,"MMMM"))</f>
        <v/>
      </c>
      <c r="C170" s="16" t="n"/>
      <c r="D170" s="16" t="n"/>
      <c r="E170" s="16" t="n"/>
      <c r="F170" s="16" t="n"/>
      <c r="G170" s="16" t="n"/>
      <c r="H170" s="21" t="n"/>
      <c r="I170" s="16" t="n"/>
      <c r="J170" s="16" t="n"/>
      <c r="K170" s="16" t="n"/>
      <c r="L170" s="16" t="n"/>
      <c r="M170" s="16">
        <f>IFERROR(INDEX(CatGroupGrp,MATCH($D170,CatGroupCat,0)),"")</f>
        <v/>
      </c>
    </row>
    <row r="171">
      <c r="A171" s="20" t="n"/>
      <c r="B171" s="16">
        <f>IF($A171="","",TEXT($A171,"MMMM"))</f>
        <v/>
      </c>
      <c r="C171" s="16" t="n"/>
      <c r="D171" s="16" t="n"/>
      <c r="E171" s="16" t="n"/>
      <c r="F171" s="16" t="n"/>
      <c r="G171" s="16" t="n"/>
      <c r="H171" s="21" t="n"/>
      <c r="I171" s="16" t="n"/>
      <c r="J171" s="16" t="n"/>
      <c r="K171" s="16" t="n"/>
      <c r="L171" s="16" t="n"/>
      <c r="M171" s="16">
        <f>IFERROR(INDEX(CatGroupGrp,MATCH($D171,CatGroupCat,0)),"")</f>
        <v/>
      </c>
    </row>
    <row r="172">
      <c r="A172" s="20" t="n"/>
      <c r="B172" s="16">
        <f>IF($A172="","",TEXT($A172,"MMMM"))</f>
        <v/>
      </c>
      <c r="C172" s="16" t="n"/>
      <c r="D172" s="16" t="n"/>
      <c r="E172" s="16" t="n"/>
      <c r="F172" s="16" t="n"/>
      <c r="G172" s="16" t="n"/>
      <c r="H172" s="21" t="n"/>
      <c r="I172" s="16" t="n"/>
      <c r="J172" s="16" t="n"/>
      <c r="K172" s="16" t="n"/>
      <c r="L172" s="16" t="n"/>
      <c r="M172" s="16">
        <f>IFERROR(INDEX(CatGroupGrp,MATCH($D172,CatGroupCat,0)),"")</f>
        <v/>
      </c>
    </row>
    <row r="173">
      <c r="A173" s="20" t="n"/>
      <c r="B173" s="16">
        <f>IF($A173="","",TEXT($A173,"MMMM"))</f>
        <v/>
      </c>
      <c r="C173" s="16" t="n"/>
      <c r="D173" s="16" t="n"/>
      <c r="E173" s="16" t="n"/>
      <c r="F173" s="16" t="n"/>
      <c r="G173" s="16" t="n"/>
      <c r="H173" s="21" t="n"/>
      <c r="I173" s="16" t="n"/>
      <c r="J173" s="16" t="n"/>
      <c r="K173" s="16" t="n"/>
      <c r="L173" s="16" t="n"/>
      <c r="M173" s="16">
        <f>IFERROR(INDEX(CatGroupGrp,MATCH($D173,CatGroupCat,0)),"")</f>
        <v/>
      </c>
    </row>
    <row r="174">
      <c r="A174" s="20" t="n"/>
      <c r="B174" s="16">
        <f>IF($A174="","",TEXT($A174,"MMMM"))</f>
        <v/>
      </c>
      <c r="C174" s="16" t="n"/>
      <c r="D174" s="16" t="n"/>
      <c r="E174" s="16" t="n"/>
      <c r="F174" s="16" t="n"/>
      <c r="G174" s="16" t="n"/>
      <c r="H174" s="21" t="n"/>
      <c r="I174" s="16" t="n"/>
      <c r="J174" s="16" t="n"/>
      <c r="K174" s="16" t="n"/>
      <c r="L174" s="16" t="n"/>
      <c r="M174" s="16">
        <f>IFERROR(INDEX(CatGroupGrp,MATCH($D174,CatGroupCat,0)),"")</f>
        <v/>
      </c>
    </row>
    <row r="175">
      <c r="A175" s="20" t="n"/>
      <c r="B175" s="16">
        <f>IF($A175="","",TEXT($A175,"MMMM"))</f>
        <v/>
      </c>
      <c r="C175" s="16" t="n"/>
      <c r="D175" s="16" t="n"/>
      <c r="E175" s="16" t="n"/>
      <c r="F175" s="16" t="n"/>
      <c r="G175" s="16" t="n"/>
      <c r="H175" s="21" t="n"/>
      <c r="I175" s="16" t="n"/>
      <c r="J175" s="16" t="n"/>
      <c r="K175" s="16" t="n"/>
      <c r="L175" s="16" t="n"/>
      <c r="M175" s="16">
        <f>IFERROR(INDEX(CatGroupGrp,MATCH($D175,CatGroupCat,0)),"")</f>
        <v/>
      </c>
    </row>
    <row r="176">
      <c r="A176" s="20" t="n"/>
      <c r="B176" s="16">
        <f>IF($A176="","",TEXT($A176,"MMMM"))</f>
        <v/>
      </c>
      <c r="C176" s="16" t="n"/>
      <c r="D176" s="16" t="n"/>
      <c r="E176" s="16" t="n"/>
      <c r="F176" s="16" t="n"/>
      <c r="G176" s="16" t="n"/>
      <c r="H176" s="21" t="n"/>
      <c r="I176" s="16" t="n"/>
      <c r="J176" s="16" t="n"/>
      <c r="K176" s="16" t="n"/>
      <c r="L176" s="16" t="n"/>
      <c r="M176" s="16">
        <f>IFERROR(INDEX(CatGroupGrp,MATCH($D176,CatGroupCat,0)),"")</f>
        <v/>
      </c>
    </row>
    <row r="177">
      <c r="A177" s="20" t="n"/>
      <c r="B177" s="16">
        <f>IF($A177="","",TEXT($A177,"MMMM"))</f>
        <v/>
      </c>
      <c r="C177" s="16" t="n"/>
      <c r="D177" s="16" t="n"/>
      <c r="E177" s="16" t="n"/>
      <c r="F177" s="16" t="n"/>
      <c r="G177" s="16" t="n"/>
      <c r="H177" s="21" t="n"/>
      <c r="I177" s="16" t="n"/>
      <c r="J177" s="16" t="n"/>
      <c r="K177" s="16" t="n"/>
      <c r="L177" s="16" t="n"/>
      <c r="M177" s="16">
        <f>IFERROR(INDEX(CatGroupGrp,MATCH($D177,CatGroupCat,0)),"")</f>
        <v/>
      </c>
    </row>
    <row r="178">
      <c r="A178" s="20" t="n"/>
      <c r="B178" s="16">
        <f>IF($A178="","",TEXT($A178,"MMMM"))</f>
        <v/>
      </c>
      <c r="C178" s="16" t="n"/>
      <c r="D178" s="16" t="n"/>
      <c r="E178" s="16" t="n"/>
      <c r="F178" s="16" t="n"/>
      <c r="G178" s="16" t="n"/>
      <c r="H178" s="21" t="n"/>
      <c r="I178" s="16" t="n"/>
      <c r="J178" s="16" t="n"/>
      <c r="K178" s="16" t="n"/>
      <c r="L178" s="16" t="n"/>
      <c r="M178" s="16">
        <f>IFERROR(INDEX(CatGroupGrp,MATCH($D178,CatGroupCat,0)),"")</f>
        <v/>
      </c>
    </row>
    <row r="179">
      <c r="A179" s="20" t="n"/>
      <c r="B179" s="16">
        <f>IF($A179="","",TEXT($A179,"MMMM"))</f>
        <v/>
      </c>
      <c r="C179" s="16" t="n"/>
      <c r="D179" s="16" t="n"/>
      <c r="E179" s="16" t="n"/>
      <c r="F179" s="16" t="n"/>
      <c r="G179" s="16" t="n"/>
      <c r="H179" s="21" t="n"/>
      <c r="I179" s="16" t="n"/>
      <c r="J179" s="16" t="n"/>
      <c r="K179" s="16" t="n"/>
      <c r="L179" s="16" t="n"/>
      <c r="M179" s="16">
        <f>IFERROR(INDEX(CatGroupGrp,MATCH($D179,CatGroupCat,0)),"")</f>
        <v/>
      </c>
    </row>
    <row r="180">
      <c r="A180" s="20" t="n"/>
      <c r="B180" s="16">
        <f>IF($A180="","",TEXT($A180,"MMMM"))</f>
        <v/>
      </c>
      <c r="C180" s="16" t="n"/>
      <c r="D180" s="16" t="n"/>
      <c r="E180" s="16" t="n"/>
      <c r="F180" s="16" t="n"/>
      <c r="G180" s="16" t="n"/>
      <c r="H180" s="21" t="n"/>
      <c r="I180" s="16" t="n"/>
      <c r="J180" s="16" t="n"/>
      <c r="K180" s="16" t="n"/>
      <c r="L180" s="16" t="n"/>
      <c r="M180" s="16">
        <f>IFERROR(INDEX(CatGroupGrp,MATCH($D180,CatGroupCat,0)),"")</f>
        <v/>
      </c>
    </row>
    <row r="181">
      <c r="A181" s="20" t="n"/>
      <c r="B181" s="16">
        <f>IF($A181="","",TEXT($A181,"MMMM"))</f>
        <v/>
      </c>
      <c r="C181" s="16" t="n"/>
      <c r="D181" s="16" t="n"/>
      <c r="E181" s="16" t="n"/>
      <c r="F181" s="16" t="n"/>
      <c r="G181" s="16" t="n"/>
      <c r="H181" s="21" t="n"/>
      <c r="I181" s="16" t="n"/>
      <c r="J181" s="16" t="n"/>
      <c r="K181" s="16" t="n"/>
      <c r="L181" s="16" t="n"/>
      <c r="M181" s="16">
        <f>IFERROR(INDEX(CatGroupGrp,MATCH($D181,CatGroupCat,0)),"")</f>
        <v/>
      </c>
    </row>
    <row r="182">
      <c r="A182" s="20" t="n"/>
      <c r="B182" s="16">
        <f>IF($A182="","",TEXT($A182,"MMMM"))</f>
        <v/>
      </c>
      <c r="C182" s="16" t="n"/>
      <c r="D182" s="16" t="n"/>
      <c r="E182" s="16" t="n"/>
      <c r="F182" s="16" t="n"/>
      <c r="G182" s="16" t="n"/>
      <c r="H182" s="21" t="n"/>
      <c r="I182" s="16" t="n"/>
      <c r="J182" s="16" t="n"/>
      <c r="K182" s="16" t="n"/>
      <c r="L182" s="16" t="n"/>
      <c r="M182" s="16">
        <f>IFERROR(INDEX(CatGroupGrp,MATCH($D182,CatGroupCat,0)),"")</f>
        <v/>
      </c>
    </row>
    <row r="183">
      <c r="A183" s="20" t="n"/>
      <c r="B183" s="16">
        <f>IF($A183="","",TEXT($A183,"MMMM"))</f>
        <v/>
      </c>
      <c r="C183" s="16" t="n"/>
      <c r="D183" s="16" t="n"/>
      <c r="E183" s="16" t="n"/>
      <c r="F183" s="16" t="n"/>
      <c r="G183" s="16" t="n"/>
      <c r="H183" s="21" t="n"/>
      <c r="I183" s="16" t="n"/>
      <c r="J183" s="16" t="n"/>
      <c r="K183" s="16" t="n"/>
      <c r="L183" s="16" t="n"/>
      <c r="M183" s="16">
        <f>IFERROR(INDEX(CatGroupGrp,MATCH($D183,CatGroupCat,0)),"")</f>
        <v/>
      </c>
    </row>
    <row r="184">
      <c r="A184" s="20" t="n"/>
      <c r="B184" s="16">
        <f>IF($A184="","",TEXT($A184,"MMMM"))</f>
        <v/>
      </c>
      <c r="C184" s="16" t="n"/>
      <c r="D184" s="16" t="n"/>
      <c r="E184" s="16" t="n"/>
      <c r="F184" s="16" t="n"/>
      <c r="G184" s="16" t="n"/>
      <c r="H184" s="21" t="n"/>
      <c r="I184" s="16" t="n"/>
      <c r="J184" s="16" t="n"/>
      <c r="K184" s="16" t="n"/>
      <c r="L184" s="16" t="n"/>
      <c r="M184" s="16">
        <f>IFERROR(INDEX(CatGroupGrp,MATCH($D184,CatGroupCat,0)),"")</f>
        <v/>
      </c>
    </row>
    <row r="185">
      <c r="A185" s="20" t="n"/>
      <c r="B185" s="16">
        <f>IF($A185="","",TEXT($A185,"MMMM"))</f>
        <v/>
      </c>
      <c r="C185" s="16" t="n"/>
      <c r="D185" s="16" t="n"/>
      <c r="E185" s="16" t="n"/>
      <c r="F185" s="16" t="n"/>
      <c r="G185" s="16" t="n"/>
      <c r="H185" s="21" t="n"/>
      <c r="I185" s="16" t="n"/>
      <c r="J185" s="16" t="n"/>
      <c r="K185" s="16" t="n"/>
      <c r="L185" s="16" t="n"/>
      <c r="M185" s="16">
        <f>IFERROR(INDEX(CatGroupGrp,MATCH($D185,CatGroupCat,0)),"")</f>
        <v/>
      </c>
    </row>
    <row r="186">
      <c r="A186" s="20" t="n"/>
      <c r="B186" s="16">
        <f>IF($A186="","",TEXT($A186,"MMMM"))</f>
        <v/>
      </c>
      <c r="C186" s="16" t="n"/>
      <c r="D186" s="16" t="n"/>
      <c r="E186" s="16" t="n"/>
      <c r="F186" s="16" t="n"/>
      <c r="G186" s="16" t="n"/>
      <c r="H186" s="21" t="n"/>
      <c r="I186" s="16" t="n"/>
      <c r="J186" s="16" t="n"/>
      <c r="K186" s="16" t="n"/>
      <c r="L186" s="16" t="n"/>
      <c r="M186" s="16">
        <f>IFERROR(INDEX(CatGroupGrp,MATCH($D186,CatGroupCat,0)),"")</f>
        <v/>
      </c>
    </row>
    <row r="187">
      <c r="A187" s="20" t="n"/>
      <c r="B187" s="16">
        <f>IF($A187="","",TEXT($A187,"MMMM"))</f>
        <v/>
      </c>
      <c r="C187" s="16" t="n"/>
      <c r="D187" s="16" t="n"/>
      <c r="E187" s="16" t="n"/>
      <c r="F187" s="16" t="n"/>
      <c r="G187" s="16" t="n"/>
      <c r="H187" s="21" t="n"/>
      <c r="I187" s="16" t="n"/>
      <c r="J187" s="16" t="n"/>
      <c r="K187" s="16" t="n"/>
      <c r="L187" s="16" t="n"/>
      <c r="M187" s="16">
        <f>IFERROR(INDEX(CatGroupGrp,MATCH($D187,CatGroupCat,0)),"")</f>
        <v/>
      </c>
    </row>
    <row r="188">
      <c r="A188" s="20" t="n"/>
      <c r="B188" s="16">
        <f>IF($A188="","",TEXT($A188,"MMMM"))</f>
        <v/>
      </c>
      <c r="C188" s="16" t="n"/>
      <c r="D188" s="16" t="n"/>
      <c r="E188" s="16" t="n"/>
      <c r="F188" s="16" t="n"/>
      <c r="G188" s="16" t="n"/>
      <c r="H188" s="21" t="n"/>
      <c r="I188" s="16" t="n"/>
      <c r="J188" s="16" t="n"/>
      <c r="K188" s="16" t="n"/>
      <c r="L188" s="16" t="n"/>
      <c r="M188" s="16">
        <f>IFERROR(INDEX(CatGroupGrp,MATCH($D188,CatGroupCat,0)),"")</f>
        <v/>
      </c>
    </row>
    <row r="189">
      <c r="A189" s="20" t="n"/>
      <c r="B189" s="16">
        <f>IF($A189="","",TEXT($A189,"MMMM"))</f>
        <v/>
      </c>
      <c r="C189" s="16" t="n"/>
      <c r="D189" s="16" t="n"/>
      <c r="E189" s="16" t="n"/>
      <c r="F189" s="16" t="n"/>
      <c r="G189" s="16" t="n"/>
      <c r="H189" s="21" t="n"/>
      <c r="I189" s="16" t="n"/>
      <c r="J189" s="16" t="n"/>
      <c r="K189" s="16" t="n"/>
      <c r="L189" s="16" t="n"/>
      <c r="M189" s="16">
        <f>IFERROR(INDEX(CatGroupGrp,MATCH($D189,CatGroupCat,0)),"")</f>
        <v/>
      </c>
    </row>
    <row r="190">
      <c r="A190" s="20" t="n"/>
      <c r="B190" s="16">
        <f>IF($A190="","",TEXT($A190,"MMMM"))</f>
        <v/>
      </c>
      <c r="C190" s="16" t="n"/>
      <c r="D190" s="16" t="n"/>
      <c r="E190" s="16" t="n"/>
      <c r="F190" s="16" t="n"/>
      <c r="G190" s="16" t="n"/>
      <c r="H190" s="21" t="n"/>
      <c r="I190" s="16" t="n"/>
      <c r="J190" s="16" t="n"/>
      <c r="K190" s="16" t="n"/>
      <c r="L190" s="16" t="n"/>
      <c r="M190" s="16">
        <f>IFERROR(INDEX(CatGroupGrp,MATCH($D190,CatGroupCat,0)),"")</f>
        <v/>
      </c>
    </row>
    <row r="191">
      <c r="A191" s="20" t="n"/>
      <c r="B191" s="16">
        <f>IF($A191="","",TEXT($A191,"MMMM"))</f>
        <v/>
      </c>
      <c r="C191" s="16" t="n"/>
      <c r="D191" s="16" t="n"/>
      <c r="E191" s="16" t="n"/>
      <c r="F191" s="16" t="n"/>
      <c r="G191" s="16" t="n"/>
      <c r="H191" s="21" t="n"/>
      <c r="I191" s="16" t="n"/>
      <c r="J191" s="16" t="n"/>
      <c r="K191" s="16" t="n"/>
      <c r="L191" s="16" t="n"/>
      <c r="M191" s="16">
        <f>IFERROR(INDEX(CatGroupGrp,MATCH($D191,CatGroupCat,0)),"")</f>
        <v/>
      </c>
    </row>
    <row r="192">
      <c r="A192" s="20" t="n"/>
      <c r="B192" s="16">
        <f>IF($A192="","",TEXT($A192,"MMMM"))</f>
        <v/>
      </c>
      <c r="C192" s="16" t="n"/>
      <c r="D192" s="16" t="n"/>
      <c r="E192" s="16" t="n"/>
      <c r="F192" s="16" t="n"/>
      <c r="G192" s="16" t="n"/>
      <c r="H192" s="21" t="n"/>
      <c r="I192" s="16" t="n"/>
      <c r="J192" s="16" t="n"/>
      <c r="K192" s="16" t="n"/>
      <c r="L192" s="16" t="n"/>
      <c r="M192" s="16">
        <f>IFERROR(INDEX(CatGroupGrp,MATCH($D192,CatGroupCat,0)),"")</f>
        <v/>
      </c>
    </row>
    <row r="193">
      <c r="A193" s="20" t="n"/>
      <c r="B193" s="16">
        <f>IF($A193="","",TEXT($A193,"MMMM"))</f>
        <v/>
      </c>
      <c r="C193" s="16" t="n"/>
      <c r="D193" s="16" t="n"/>
      <c r="E193" s="16" t="n"/>
      <c r="F193" s="16" t="n"/>
      <c r="G193" s="16" t="n"/>
      <c r="H193" s="21" t="n"/>
      <c r="I193" s="16" t="n"/>
      <c r="J193" s="16" t="n"/>
      <c r="K193" s="16" t="n"/>
      <c r="L193" s="16" t="n"/>
      <c r="M193" s="16">
        <f>IFERROR(INDEX(CatGroupGrp,MATCH($D193,CatGroupCat,0)),"")</f>
        <v/>
      </c>
    </row>
    <row r="194">
      <c r="A194" s="20" t="n"/>
      <c r="B194" s="16">
        <f>IF($A194="","",TEXT($A194,"MMMM"))</f>
        <v/>
      </c>
      <c r="C194" s="16" t="n"/>
      <c r="D194" s="16" t="n"/>
      <c r="E194" s="16" t="n"/>
      <c r="F194" s="16" t="n"/>
      <c r="G194" s="16" t="n"/>
      <c r="H194" s="21" t="n"/>
      <c r="I194" s="16" t="n"/>
      <c r="J194" s="16" t="n"/>
      <c r="K194" s="16" t="n"/>
      <c r="L194" s="16" t="n"/>
      <c r="M194" s="16">
        <f>IFERROR(INDEX(CatGroupGrp,MATCH($D194,CatGroupCat,0)),"")</f>
        <v/>
      </c>
    </row>
    <row r="195">
      <c r="A195" s="20" t="n"/>
      <c r="B195" s="16">
        <f>IF($A195="","",TEXT($A195,"MMMM"))</f>
        <v/>
      </c>
      <c r="C195" s="16" t="n"/>
      <c r="D195" s="16" t="n"/>
      <c r="E195" s="16" t="n"/>
      <c r="F195" s="16" t="n"/>
      <c r="G195" s="16" t="n"/>
      <c r="H195" s="21" t="n"/>
      <c r="I195" s="16" t="n"/>
      <c r="J195" s="16" t="n"/>
      <c r="K195" s="16" t="n"/>
      <c r="L195" s="16" t="n"/>
      <c r="M195" s="16">
        <f>IFERROR(INDEX(CatGroupGrp,MATCH($D195,CatGroupCat,0)),"")</f>
        <v/>
      </c>
    </row>
    <row r="196">
      <c r="A196" s="20" t="n"/>
      <c r="B196" s="16">
        <f>IF($A196="","",TEXT($A196,"MMMM"))</f>
        <v/>
      </c>
      <c r="C196" s="16" t="n"/>
      <c r="D196" s="16" t="n"/>
      <c r="E196" s="16" t="n"/>
      <c r="F196" s="16" t="n"/>
      <c r="G196" s="16" t="n"/>
      <c r="H196" s="21" t="n"/>
      <c r="I196" s="16" t="n"/>
      <c r="J196" s="16" t="n"/>
      <c r="K196" s="16" t="n"/>
      <c r="L196" s="16" t="n"/>
      <c r="M196" s="16">
        <f>IFERROR(INDEX(CatGroupGrp,MATCH($D196,CatGroupCat,0)),"")</f>
        <v/>
      </c>
    </row>
    <row r="197">
      <c r="A197" s="20" t="n"/>
      <c r="B197" s="16">
        <f>IF($A197="","",TEXT($A197,"MMMM"))</f>
        <v/>
      </c>
      <c r="C197" s="16" t="n"/>
      <c r="D197" s="16" t="n"/>
      <c r="E197" s="16" t="n"/>
      <c r="F197" s="16" t="n"/>
      <c r="G197" s="16" t="n"/>
      <c r="H197" s="21" t="n"/>
      <c r="I197" s="16" t="n"/>
      <c r="J197" s="16" t="n"/>
      <c r="K197" s="16" t="n"/>
      <c r="L197" s="16" t="n"/>
      <c r="M197" s="16">
        <f>IFERROR(INDEX(CatGroupGrp,MATCH($D197,CatGroupCat,0)),"")</f>
        <v/>
      </c>
    </row>
    <row r="198">
      <c r="A198" s="20" t="n"/>
      <c r="B198" s="16">
        <f>IF($A198="","",TEXT($A198,"MMMM"))</f>
        <v/>
      </c>
      <c r="C198" s="16" t="n"/>
      <c r="D198" s="16" t="n"/>
      <c r="E198" s="16" t="n"/>
      <c r="F198" s="16" t="n"/>
      <c r="G198" s="16" t="n"/>
      <c r="H198" s="21" t="n"/>
      <c r="I198" s="16" t="n"/>
      <c r="J198" s="16" t="n"/>
      <c r="K198" s="16" t="n"/>
      <c r="L198" s="16" t="n"/>
      <c r="M198" s="16">
        <f>IFERROR(INDEX(CatGroupGrp,MATCH($D198,CatGroupCat,0)),"")</f>
        <v/>
      </c>
    </row>
    <row r="199">
      <c r="A199" s="20" t="n"/>
      <c r="B199" s="16">
        <f>IF($A199="","",TEXT($A199,"MMMM"))</f>
        <v/>
      </c>
      <c r="C199" s="16" t="n"/>
      <c r="D199" s="16" t="n"/>
      <c r="E199" s="16" t="n"/>
      <c r="F199" s="16" t="n"/>
      <c r="G199" s="16" t="n"/>
      <c r="H199" s="21" t="n"/>
      <c r="I199" s="16" t="n"/>
      <c r="J199" s="16" t="n"/>
      <c r="K199" s="16" t="n"/>
      <c r="L199" s="16" t="n"/>
      <c r="M199" s="16">
        <f>IFERROR(INDEX(CatGroupGrp,MATCH($D199,CatGroupCat,0)),"")</f>
        <v/>
      </c>
    </row>
    <row r="200">
      <c r="A200" s="20" t="n"/>
      <c r="B200" s="16">
        <f>IF($A200="","",TEXT($A200,"MMMM"))</f>
        <v/>
      </c>
      <c r="C200" s="16" t="n"/>
      <c r="D200" s="16" t="n"/>
      <c r="E200" s="16" t="n"/>
      <c r="F200" s="16" t="n"/>
      <c r="G200" s="16" t="n"/>
      <c r="H200" s="21" t="n"/>
      <c r="I200" s="16" t="n"/>
      <c r="J200" s="16" t="n"/>
      <c r="K200" s="16" t="n"/>
      <c r="L200" s="16" t="n"/>
      <c r="M200" s="16">
        <f>IFERROR(INDEX(CatGroupGrp,MATCH($D200,CatGroupCat,0)),"")</f>
        <v/>
      </c>
    </row>
    <row r="201">
      <c r="A201" s="20" t="n"/>
      <c r="B201" s="16">
        <f>IF($A201="","",TEXT($A201,"MMMM"))</f>
        <v/>
      </c>
      <c r="C201" s="16" t="n"/>
      <c r="D201" s="16" t="n"/>
      <c r="E201" s="16" t="n"/>
      <c r="F201" s="16" t="n"/>
      <c r="G201" s="16" t="n"/>
      <c r="H201" s="21" t="n"/>
      <c r="I201" s="16" t="n"/>
      <c r="J201" s="16" t="n"/>
      <c r="K201" s="16" t="n"/>
      <c r="L201" s="16" t="n"/>
      <c r="M201" s="16">
        <f>IFERROR(INDEX(CatGroupGrp,MATCH($D201,CatGroupCat,0)),"")</f>
        <v/>
      </c>
    </row>
    <row r="202">
      <c r="A202" s="20" t="n"/>
      <c r="B202" s="16">
        <f>IF($A202="","",TEXT($A202,"MMMM"))</f>
        <v/>
      </c>
      <c r="C202" s="16" t="n"/>
      <c r="D202" s="16" t="n"/>
      <c r="E202" s="16" t="n"/>
      <c r="F202" s="16" t="n"/>
      <c r="G202" s="16" t="n"/>
      <c r="H202" s="21" t="n"/>
      <c r="I202" s="16" t="n"/>
      <c r="J202" s="16" t="n"/>
      <c r="K202" s="16" t="n"/>
      <c r="L202" s="16" t="n"/>
      <c r="M202" s="16">
        <f>IFERROR(INDEX(CatGroupGrp,MATCH($D202,CatGroupCat,0)),"")</f>
        <v/>
      </c>
    </row>
    <row r="203">
      <c r="A203" s="20" t="n"/>
      <c r="B203" s="16">
        <f>IF($A203="","",TEXT($A203,"MMMM"))</f>
        <v/>
      </c>
      <c r="C203" s="16" t="n"/>
      <c r="D203" s="16" t="n"/>
      <c r="E203" s="16" t="n"/>
      <c r="F203" s="16" t="n"/>
      <c r="G203" s="16" t="n"/>
      <c r="H203" s="21" t="n"/>
      <c r="I203" s="16" t="n"/>
      <c r="J203" s="16" t="n"/>
      <c r="K203" s="16" t="n"/>
      <c r="L203" s="16" t="n"/>
      <c r="M203" s="16">
        <f>IFERROR(INDEX(CatGroupGrp,MATCH($D203,CatGroupCat,0)),"")</f>
        <v/>
      </c>
    </row>
  </sheetData>
  <mergeCells count="1">
    <mergeCell ref="A1:L1"/>
  </mergeCells>
  <dataValidations count="6">
    <dataValidation sqref="C4:C203" showDropDown="0" showInputMessage="0" showErrorMessage="0" allowBlank="1" type="list">
      <formula1>=TxnTypes</formula1>
    </dataValidation>
    <dataValidation sqref="D4:D203" showDropDown="0" showInputMessage="0" showErrorMessage="0" allowBlank="1" type="list">
      <formula1>=Categories</formula1>
    </dataValidation>
    <dataValidation sqref="F4:F203" showDropDown="0" showInputMessage="0" showErrorMessage="0" allowBlank="1" type="list">
      <formula1>=Accounts</formula1>
    </dataValidation>
    <dataValidation sqref="G4:G203" showDropDown="0" showInputMessage="0" showErrorMessage="0" allowBlank="1" type="list">
      <formula1>=PaymentMethods</formula1>
    </dataValidation>
    <dataValidation sqref="J4:J203" showDropDown="0" showInputMessage="0" showErrorMessage="0" allowBlank="1" type="list">
      <formula1>"Yes,No"</formula1>
    </dataValidation>
    <dataValidation sqref="K4:K20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A9D8F"/>
    <outlinePr summaryBelow="1" summaryRight="1"/>
    <pageSetUpPr/>
  </sheetPr>
  <dimension ref="B2:G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16" customWidth="1" min="4" max="4"/>
    <col width="16" customWidth="1" min="5" max="5"/>
    <col width="10" customWidth="1" min="6" max="6"/>
    <col width="8" customWidth="1" min="7" max="7"/>
  </cols>
  <sheetData>
    <row r="2">
      <c r="B2" s="22" t="inlineStr">
        <is>
          <t>ACCOUNTS</t>
        </is>
      </c>
    </row>
    <row r="4">
      <c r="B4" s="23" t="inlineStr">
        <is>
          <t>Account Name</t>
        </is>
      </c>
      <c r="C4" s="23" t="inlineStr">
        <is>
          <t>Type</t>
        </is>
      </c>
      <c r="D4" s="23" t="inlineStr">
        <is>
          <t>Starting Balance</t>
        </is>
      </c>
      <c r="E4" s="23" t="inlineStr">
        <is>
          <t>Current Balance</t>
        </is>
      </c>
      <c r="F4" s="23" t="inlineStr">
        <is>
          <t>Currency</t>
        </is>
      </c>
      <c r="G4" s="23" t="inlineStr">
        <is>
          <t>Active</t>
        </is>
      </c>
    </row>
    <row r="5">
      <c r="B5" s="24" t="inlineStr">
        <is>
          <t>Checking</t>
        </is>
      </c>
      <c r="C5" s="16" t="inlineStr">
        <is>
          <t>Bank</t>
        </is>
      </c>
      <c r="D5" s="25" t="n">
        <v>1500</v>
      </c>
      <c r="E5" s="26">
        <f>D5+SUMIFS(TxAmount,TxAccount,B5,TxType,"Income")-SUMIFS(TxAmount,TxAccount,B5,TxType,"Expense")</f>
        <v/>
      </c>
      <c r="F5" s="27">
        <f>CurrencySym</f>
        <v/>
      </c>
      <c r="G5" s="27" t="inlineStr">
        <is>
          <t>Yes</t>
        </is>
      </c>
    </row>
    <row r="6">
      <c r="B6" s="24" t="inlineStr">
        <is>
          <t>Cash</t>
        </is>
      </c>
      <c r="C6" s="16" t="inlineStr">
        <is>
          <t>Cash</t>
        </is>
      </c>
      <c r="D6" s="25" t="n">
        <v>120</v>
      </c>
      <c r="E6" s="26">
        <f>D6+SUMIFS(TxAmount,TxAccount,B6,TxType,"Income")-SUMIFS(TxAmount,TxAccount,B6,TxType,"Expense")</f>
        <v/>
      </c>
      <c r="F6" s="27">
        <f>CurrencySym</f>
        <v/>
      </c>
      <c r="G6" s="27" t="inlineStr">
        <is>
          <t>Yes</t>
        </is>
      </c>
    </row>
    <row r="7">
      <c r="B7" s="24" t="inlineStr">
        <is>
          <t>Credit Card</t>
        </is>
      </c>
      <c r="C7" s="16" t="inlineStr">
        <is>
          <t>Credit</t>
        </is>
      </c>
      <c r="D7" s="25" t="n">
        <v>-650</v>
      </c>
      <c r="E7" s="26">
        <f>D7+SUMIFS(TxAmount,TxAccount,B7,TxType,"Income")-SUMIFS(TxAmount,TxAccount,B7,TxType,"Expense")</f>
        <v/>
      </c>
      <c r="F7" s="27">
        <f>CurrencySym</f>
        <v/>
      </c>
      <c r="G7" s="27" t="inlineStr">
        <is>
          <t>Yes</t>
        </is>
      </c>
    </row>
    <row r="8">
      <c r="B8" s="24" t="inlineStr">
        <is>
          <t>Savings</t>
        </is>
      </c>
      <c r="C8" s="16" t="inlineStr">
        <is>
          <t>Savings</t>
        </is>
      </c>
      <c r="D8" s="25" t="n">
        <v>3000</v>
      </c>
      <c r="E8" s="26">
        <f>D8+SUMIFS(TxAmount,TxAccount,B8,TxType,"Income")-SUMIFS(TxAmount,TxAccount,B8,TxType,"Expense")</f>
        <v/>
      </c>
      <c r="F8" s="27">
        <f>CurrencySym</f>
        <v/>
      </c>
      <c r="G8" s="27" t="inlineStr">
        <is>
          <t>Yes</t>
        </is>
      </c>
    </row>
    <row r="9">
      <c r="B9" s="24" t="inlineStr">
        <is>
          <t>Investment</t>
        </is>
      </c>
      <c r="C9" s="16" t="inlineStr">
        <is>
          <t>Investment</t>
        </is>
      </c>
      <c r="D9" s="25" t="n">
        <v>5000</v>
      </c>
      <c r="E9" s="26">
        <f>D9+SUMIFS(TxAmount,TxAccount,B9,TxType,"Income")-SUMIFS(TxAmount,TxAccount,B9,TxType,"Expense")</f>
        <v/>
      </c>
      <c r="F9" s="27">
        <f>CurrencySym</f>
        <v/>
      </c>
      <c r="G9" s="27" t="inlineStr">
        <is>
          <t>Yes</t>
        </is>
      </c>
    </row>
  </sheetData>
  <conditionalFormatting sqref="E5:E9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76F51"/>
    <outlinePr summaryBelow="1" summaryRight="1"/>
    <pageSetUpPr/>
  </sheetPr>
  <dimension ref="B2:H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4" customWidth="1" min="3" max="3"/>
    <col width="18" customWidth="1" min="4" max="4"/>
    <col width="4" customWidth="1" min="5" max="5"/>
    <col width="14" customWidth="1" min="6" max="6"/>
    <col width="12" customWidth="1" min="7" max="7"/>
    <col width="12" customWidth="1" min="8" max="8"/>
  </cols>
  <sheetData>
    <row r="2">
      <c r="B2" s="28" t="inlineStr">
        <is>
          <t>DASHBOARD</t>
        </is>
      </c>
    </row>
    <row r="3">
      <c r="B3" s="7" t="inlineStr">
        <is>
          <t>Live overview — recomputes from TRANSACTIONS</t>
        </is>
      </c>
    </row>
    <row r="5">
      <c r="B5" s="29" t="inlineStr">
        <is>
          <t>TOTAL INCOME</t>
        </is>
      </c>
      <c r="C5" s="27" t="n"/>
      <c r="D5" s="30" t="inlineStr">
        <is>
          <t>TOTAL EXPENSES</t>
        </is>
      </c>
      <c r="E5" s="27" t="n"/>
      <c r="F5" s="31" t="inlineStr">
        <is>
          <t>NET SAVINGS</t>
        </is>
      </c>
      <c r="G5" s="27" t="n"/>
    </row>
    <row r="6">
      <c r="B6" s="32">
        <f>SUMIFS(TxAmount,TxType,"Income")</f>
        <v/>
      </c>
      <c r="C6" s="27" t="n"/>
      <c r="D6" s="32">
        <f>SUMIFS(TxAmount,TxType,"Expense")</f>
        <v/>
      </c>
      <c r="E6" s="27" t="n"/>
      <c r="F6" s="32">
        <f>SUMIFS(TxAmount,TxType,"Income")-SUMIFS(TxAmount,TxType,"Expense")</f>
        <v/>
      </c>
      <c r="G6" s="27" t="n"/>
    </row>
    <row r="8">
      <c r="B8" s="33" t="inlineStr">
        <is>
          <t>SAVINGS RATE</t>
        </is>
      </c>
      <c r="C8" s="27" t="n"/>
      <c r="D8" s="31" t="inlineStr">
        <is>
          <t>NET WORTH</t>
        </is>
      </c>
      <c r="E8" s="27" t="n"/>
      <c r="F8" s="30" t="inlineStr">
        <is>
          <t>TOTAL DEBT</t>
        </is>
      </c>
      <c r="G8" s="27" t="n"/>
    </row>
    <row r="9">
      <c r="B9" s="34">
        <f>IF(SUMIFS(TxAmount,TxType,"Income")=0,0,(SUMIFS(TxAmount,TxType,"Income")-SUMIFS(TxAmount,TxType,"Expense"))/SUMIFS(TxAmount,TxType,"Income"))</f>
        <v/>
      </c>
      <c r="C9" s="27" t="n"/>
      <c r="D9" s="32">
        <f>SUM(ACCOUNTS!E5:E9)</f>
        <v/>
      </c>
      <c r="E9" s="27" t="n"/>
      <c r="F9" s="32">
        <f>-SUMIFS(ACCOUNTS!E5:E9,ACCOUNTS!C5:C9,"Credit")</f>
        <v/>
      </c>
      <c r="G9" s="27" t="n"/>
    </row>
    <row r="12">
      <c r="B12" s="4" t="inlineStr">
        <is>
          <t>Spending by Category</t>
        </is>
      </c>
      <c r="F12" s="4" t="inlineStr">
        <is>
          <t>Monthly Income vs Expense</t>
        </is>
      </c>
    </row>
    <row r="13">
      <c r="B13" s="35" t="inlineStr">
        <is>
          <t>Category</t>
        </is>
      </c>
      <c r="C13" s="35" t="inlineStr">
        <is>
          <t>Amount</t>
        </is>
      </c>
      <c r="F13" s="35" t="inlineStr">
        <is>
          <t>Month</t>
        </is>
      </c>
      <c r="G13" s="36" t="inlineStr">
        <is>
          <t>Income</t>
        </is>
      </c>
      <c r="H13" s="37" t="inlineStr">
        <is>
          <t>Expense</t>
        </is>
      </c>
    </row>
    <row r="14">
      <c r="B14" s="16" t="inlineStr">
        <is>
          <t>Groceries</t>
        </is>
      </c>
      <c r="C14" s="38">
        <f>SUMIFS(TxAmount,TxCat,B14,TxType,"Expense")</f>
        <v/>
      </c>
      <c r="F14" s="16" t="inlineStr">
        <is>
          <t>January</t>
        </is>
      </c>
      <c r="G14" s="38">
        <f>SUMIFS(TxAmount,TxMonth,F14,TxType,"Income")</f>
        <v/>
      </c>
      <c r="H14" s="38">
        <f>SUMIFS(TxAmount,TxMonth,F14,TxType,"Expense")</f>
        <v/>
      </c>
    </row>
    <row r="15">
      <c r="B15" s="16" t="inlineStr">
        <is>
          <t>Rent</t>
        </is>
      </c>
      <c r="C15" s="38">
        <f>SUMIFS(TxAmount,TxCat,B15,TxType,"Expense")</f>
        <v/>
      </c>
      <c r="F15" s="16" t="inlineStr">
        <is>
          <t>February</t>
        </is>
      </c>
      <c r="G15" s="38">
        <f>SUMIFS(TxAmount,TxMonth,F15,TxType,"Income")</f>
        <v/>
      </c>
      <c r="H15" s="38">
        <f>SUMIFS(TxAmount,TxMonth,F15,TxType,"Expense")</f>
        <v/>
      </c>
    </row>
    <row r="16">
      <c r="B16" s="16" t="inlineStr">
        <is>
          <t>Utilities</t>
        </is>
      </c>
      <c r="C16" s="38">
        <f>SUMIFS(TxAmount,TxCat,B16,TxType,"Expense")</f>
        <v/>
      </c>
      <c r="F16" s="16" t="inlineStr">
        <is>
          <t>March</t>
        </is>
      </c>
      <c r="G16" s="38">
        <f>SUMIFS(TxAmount,TxMonth,F16,TxType,"Income")</f>
        <v/>
      </c>
      <c r="H16" s="38">
        <f>SUMIFS(TxAmount,TxMonth,F16,TxType,"Expense")</f>
        <v/>
      </c>
    </row>
    <row r="17">
      <c r="B17" s="16" t="inlineStr">
        <is>
          <t>Transport</t>
        </is>
      </c>
      <c r="C17" s="38">
        <f>SUMIFS(TxAmount,TxCat,B17,TxType,"Expense")</f>
        <v/>
      </c>
      <c r="F17" s="16" t="inlineStr">
        <is>
          <t>April</t>
        </is>
      </c>
      <c r="G17" s="38">
        <f>SUMIFS(TxAmount,TxMonth,F17,TxType,"Income")</f>
        <v/>
      </c>
      <c r="H17" s="38">
        <f>SUMIFS(TxAmount,TxMonth,F17,TxType,"Expense")</f>
        <v/>
      </c>
    </row>
    <row r="18">
      <c r="B18" s="16" t="inlineStr">
        <is>
          <t>Dining</t>
        </is>
      </c>
      <c r="C18" s="38">
        <f>SUMIFS(TxAmount,TxCat,B18,TxType,"Expense")</f>
        <v/>
      </c>
      <c r="F18" s="16" t="inlineStr">
        <is>
          <t>May</t>
        </is>
      </c>
      <c r="G18" s="38">
        <f>SUMIFS(TxAmount,TxMonth,F18,TxType,"Income")</f>
        <v/>
      </c>
      <c r="H18" s="38">
        <f>SUMIFS(TxAmount,TxMonth,F18,TxType,"Expense")</f>
        <v/>
      </c>
    </row>
    <row r="19">
      <c r="B19" s="16" t="inlineStr">
        <is>
          <t>Health</t>
        </is>
      </c>
      <c r="C19" s="38">
        <f>SUMIFS(TxAmount,TxCat,B19,TxType,"Expense")</f>
        <v/>
      </c>
      <c r="F19" s="16" t="inlineStr">
        <is>
          <t>June</t>
        </is>
      </c>
      <c r="G19" s="38">
        <f>SUMIFS(TxAmount,TxMonth,F19,TxType,"Income")</f>
        <v/>
      </c>
      <c r="H19" s="38">
        <f>SUMIFS(TxAmount,TxMonth,F19,TxType,"Expense")</f>
        <v/>
      </c>
    </row>
    <row r="20">
      <c r="B20" s="16" t="inlineStr">
        <is>
          <t>Subscriptions</t>
        </is>
      </c>
      <c r="C20" s="38">
        <f>SUMIFS(TxAmount,TxCat,B20,TxType,"Expense")</f>
        <v/>
      </c>
      <c r="F20" s="16" t="inlineStr">
        <is>
          <t>July</t>
        </is>
      </c>
      <c r="G20" s="38">
        <f>SUMIFS(TxAmount,TxMonth,F20,TxType,"Income")</f>
        <v/>
      </c>
      <c r="H20" s="38">
        <f>SUMIFS(TxAmount,TxMonth,F20,TxType,"Expense")</f>
        <v/>
      </c>
    </row>
    <row r="21">
      <c r="B21" s="16" t="inlineStr">
        <is>
          <t>Insurance</t>
        </is>
      </c>
      <c r="C21" s="38">
        <f>SUMIFS(TxAmount,TxCat,B21,TxType,"Expense")</f>
        <v/>
      </c>
      <c r="F21" s="16" t="inlineStr">
        <is>
          <t>August</t>
        </is>
      </c>
      <c r="G21" s="38">
        <f>SUMIFS(TxAmount,TxMonth,F21,TxType,"Income")</f>
        <v/>
      </c>
      <c r="H21" s="38">
        <f>SUMIFS(TxAmount,TxMonth,F21,TxType,"Expense")</f>
        <v/>
      </c>
    </row>
    <row r="22">
      <c r="B22" s="16" t="inlineStr">
        <is>
          <t>Savings</t>
        </is>
      </c>
      <c r="C22" s="38">
        <f>SUMIFS(TxAmount,TxCat,B22,TxType,"Expense")</f>
        <v/>
      </c>
      <c r="F22" s="16" t="inlineStr">
        <is>
          <t>September</t>
        </is>
      </c>
      <c r="G22" s="38">
        <f>SUMIFS(TxAmount,TxMonth,F22,TxType,"Income")</f>
        <v/>
      </c>
      <c r="H22" s="38">
        <f>SUMIFS(TxAmount,TxMonth,F22,TxType,"Expense")</f>
        <v/>
      </c>
    </row>
    <row r="23">
      <c r="B23" s="16" t="inlineStr">
        <is>
          <t>Debt Payment</t>
        </is>
      </c>
      <c r="C23" s="38">
        <f>SUMIFS(TxAmount,TxCat,B23,TxType,"Expense")</f>
        <v/>
      </c>
      <c r="F23" s="16" t="inlineStr">
        <is>
          <t>October</t>
        </is>
      </c>
      <c r="G23" s="38">
        <f>SUMIFS(TxAmount,TxMonth,F23,TxType,"Income")</f>
        <v/>
      </c>
      <c r="H23" s="38">
        <f>SUMIFS(TxAmount,TxMonth,F23,TxType,"Expense")</f>
        <v/>
      </c>
    </row>
    <row r="24">
      <c r="B24" s="16" t="inlineStr">
        <is>
          <t>Entertainment</t>
        </is>
      </c>
      <c r="C24" s="38">
        <f>SUMIFS(TxAmount,TxCat,B24,TxType,"Expense")</f>
        <v/>
      </c>
      <c r="F24" s="16" t="inlineStr">
        <is>
          <t>November</t>
        </is>
      </c>
      <c r="G24" s="38">
        <f>SUMIFS(TxAmount,TxMonth,F24,TxType,"Income")</f>
        <v/>
      </c>
      <c r="H24" s="38">
        <f>SUMIFS(TxAmount,TxMonth,F24,TxType,"Expense")</f>
        <v/>
      </c>
    </row>
    <row r="25">
      <c r="B25" s="16" t="inlineStr">
        <is>
          <t>Misc</t>
        </is>
      </c>
      <c r="C25" s="38">
        <f>SUMIFS(TxAmount,TxCat,B25,TxType,"Expense")</f>
        <v/>
      </c>
      <c r="F25" s="16" t="inlineStr">
        <is>
          <t>December</t>
        </is>
      </c>
      <c r="G25" s="38">
        <f>SUMIFS(TxAmount,TxMonth,F25,TxType,"Income")</f>
        <v/>
      </c>
      <c r="H25" s="38">
        <f>SUMIFS(TxAmount,TxMonth,F25,TxType,"Expense")</f>
        <v/>
      </c>
    </row>
  </sheetData>
  <mergeCells count="12">
    <mergeCell ref="D8:E8"/>
    <mergeCell ref="D6:E6"/>
    <mergeCell ref="B6:C6"/>
    <mergeCell ref="B5:C5"/>
    <mergeCell ref="F5:G5"/>
    <mergeCell ref="D5:E5"/>
    <mergeCell ref="F6:G6"/>
    <mergeCell ref="B9:C9"/>
    <mergeCell ref="D9:E9"/>
    <mergeCell ref="B8:C8"/>
    <mergeCell ref="F9:G9"/>
    <mergeCell ref="F8:G8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E9C46A"/>
    <outlinePr summaryBelow="1" summaryRight="1"/>
    <pageSetUpPr/>
  </sheetPr>
  <dimension ref="B2:G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>
      <c r="B2" s="22" t="inlineStr">
        <is>
          <t>50 / 30 / 20  BUDGET</t>
        </is>
      </c>
    </row>
    <row r="3">
      <c r="B3" s="7" t="inlineStr">
        <is>
          <t>Target split of income vs your actual spending</t>
        </is>
      </c>
    </row>
    <row r="5">
      <c r="B5" s="23" t="inlineStr">
        <is>
          <t>Group</t>
        </is>
      </c>
      <c r="C5" s="23" t="inlineStr">
        <is>
          <t>Target %</t>
        </is>
      </c>
      <c r="D5" s="23" t="inlineStr">
        <is>
          <t>Target $</t>
        </is>
      </c>
      <c r="E5" s="23" t="inlineStr">
        <is>
          <t>Actual $</t>
        </is>
      </c>
      <c r="F5" s="23" t="inlineStr">
        <is>
          <t>Difference</t>
        </is>
      </c>
      <c r="G5" s="23" t="inlineStr">
        <is>
          <t>Status</t>
        </is>
      </c>
    </row>
    <row r="6">
      <c r="B6" s="24" t="inlineStr">
        <is>
          <t>Needs</t>
        </is>
      </c>
      <c r="C6" s="39" t="n">
        <v>0.5</v>
      </c>
      <c r="D6" s="38">
        <f>C6*SUMIFS(TxAmount,TxType,"Income")</f>
        <v/>
      </c>
      <c r="E6" s="38">
        <f>SUMIFS(TxAmount,TxGroup,B6,TxType,"Expense")</f>
        <v/>
      </c>
      <c r="F6" s="38">
        <f>D6-E6</f>
        <v/>
      </c>
      <c r="G6" s="27">
        <f>IF(E6&lt;=D6,"On track","Over")</f>
        <v/>
      </c>
    </row>
    <row r="7">
      <c r="B7" s="24" t="inlineStr">
        <is>
          <t>Wants</t>
        </is>
      </c>
      <c r="C7" s="39" t="n">
        <v>0.3</v>
      </c>
      <c r="D7" s="38">
        <f>C7*SUMIFS(TxAmount,TxType,"Income")</f>
        <v/>
      </c>
      <c r="E7" s="38">
        <f>SUMIFS(TxAmount,TxGroup,B7,TxType,"Expense")</f>
        <v/>
      </c>
      <c r="F7" s="38">
        <f>D7-E7</f>
        <v/>
      </c>
      <c r="G7" s="27">
        <f>IF(E7&lt;=D7,"On track","Over")</f>
        <v/>
      </c>
    </row>
    <row r="8">
      <c r="B8" s="24" t="inlineStr">
        <is>
          <t>Savings</t>
        </is>
      </c>
      <c r="C8" s="39" t="n">
        <v>0.2</v>
      </c>
      <c r="D8" s="38">
        <f>C8*SUMIFS(TxAmount,TxType,"Income")</f>
        <v/>
      </c>
      <c r="E8" s="38">
        <f>SUMIFS(TxAmount,TxGroup,B8,TxType,"Expense")</f>
        <v/>
      </c>
      <c r="F8" s="38">
        <f>D8-E8</f>
        <v/>
      </c>
      <c r="G8" s="27">
        <f>IF(E8&lt;=D8,"On track","Over")</f>
        <v/>
      </c>
    </row>
  </sheetData>
  <conditionalFormatting sqref="G6:G8">
    <cfRule type="cellIs" priority="1" operator="equal" dxfId="0">
      <formula>"Over"</formula>
    </cfRule>
    <cfRule type="cellIs" priority="2" operator="equal" dxfId="1">
      <formula>"On track"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2026-06-15T00:53:46Z</dcterms:created>
  <dcterms:modified xmlns:dcterms="http://purl.org/dc/terms/" xmlns:xsi="http://www.w3.org/2001/XMLSchema-instance" xsi:type="dcterms:W3CDTF">2026-06-15T00:53:46Z</dcterms:modified>
</cp:coreProperties>
</file>