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диаплан" sheetId="1" state="visible" r:id="rId1"/>
    <sheet xmlns:r="http://schemas.openxmlformats.org/officeDocument/2006/relationships" name="Минус-слова и цел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\ ₽"/>
  </numFmts>
  <fonts count="6">
    <font>
      <name val="Calibri"/>
      <family val="2"/>
      <color theme="1"/>
      <sz val="11"/>
      <scheme val="minor"/>
    </font>
    <font>
      <b val="1"/>
      <color rgb="00C00000"/>
      <sz val="14"/>
    </font>
    <font>
      <i val="1"/>
      <color rgb="00808080"/>
      <sz val="9"/>
    </font>
    <font>
      <b val="1"/>
      <color rgb="00FFFFFF"/>
      <sz val="11"/>
    </font>
    <font>
      <b val="1"/>
    </font>
    <font>
      <b val="1"/>
      <color rgb="00C00000"/>
      <sz val="12"/>
    </font>
  </fonts>
  <fills count="5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2DCD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3" fontId="0" fillId="0" borderId="1" pivotButton="0" quotePrefix="0" xfId="0"/>
    <xf numFmtId="164" fontId="0" fillId="0" borderId="1" applyAlignment="1" pivotButton="0" quotePrefix="0" xfId="0">
      <alignment horizontal="center" vertical="center" wrapText="1"/>
    </xf>
    <xf numFmtId="165" fontId="0" fillId="0" borderId="1" pivotButton="0" quotePrefix="0" xfId="0"/>
    <xf numFmtId="0" fontId="4" fillId="3" borderId="1" pivotButton="0" quotePrefix="0" xfId="0"/>
    <xf numFmtId="3" fontId="4" fillId="3" borderId="1" pivotButton="0" quotePrefix="0" xfId="0"/>
    <xf numFmtId="164" fontId="4" fillId="3" borderId="1" pivotButton="0" quotePrefix="0" xfId="0"/>
    <xf numFmtId="165" fontId="4" fillId="3" borderId="1" pivotButton="0" quotePrefix="0" xfId="0"/>
    <xf numFmtId="0" fontId="5" fillId="0" borderId="0" pivotButton="0" quotePrefix="0" xfId="0"/>
    <xf numFmtId="3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3" customWidth="1" min="3" max="3"/>
    <col width="17" customWidth="1" min="4" max="4"/>
    <col width="9" customWidth="1" min="5" max="5"/>
    <col width="11" customWidth="1" min="6" max="6"/>
    <col width="12" customWidth="1" min="7" max="7"/>
    <col width="15" customWidth="1" min="8" max="8"/>
    <col width="13" customWidth="1" min="9" max="9"/>
  </cols>
  <sheetData>
    <row r="1">
      <c r="A1" s="1" t="inlineStr">
        <is>
          <t>Медиаплан Яндекс.Директ — МРТ-центр (ручная настройка)</t>
        </is>
      </c>
    </row>
    <row r="2">
      <c r="A2" s="2" t="inlineStr">
        <is>
          <t>Период: 1 месяц · Регион: город+область · Расчёт по прогнозу бюджета Директа, округления консервативные</t>
        </is>
      </c>
    </row>
    <row r="4">
      <c r="A4" s="3" t="inlineStr">
        <is>
          <t>Кампания</t>
        </is>
      </c>
      <c r="B4" s="3" t="inlineStr">
        <is>
          <t>Группа / интент</t>
        </is>
      </c>
      <c r="C4" s="3" t="inlineStr">
        <is>
          <t>Охват кл. фраз</t>
        </is>
      </c>
      <c r="D4" s="3" t="inlineStr">
        <is>
          <t>Прогноз показов/мес</t>
        </is>
      </c>
      <c r="E4" s="3" t="inlineStr">
        <is>
          <t>CTR</t>
        </is>
      </c>
      <c r="F4" s="3" t="inlineStr">
        <is>
          <t>Клики/мес</t>
        </is>
      </c>
      <c r="G4" s="3" t="inlineStr">
        <is>
          <t>Ср. CPC, ₽</t>
        </is>
      </c>
      <c r="H4" s="3" t="inlineStr">
        <is>
          <t>Бюджет/мес, ₽</t>
        </is>
      </c>
      <c r="I4" s="3" t="inlineStr">
        <is>
          <t>Доля бюджета</t>
        </is>
      </c>
    </row>
    <row r="5">
      <c r="A5" s="4" t="inlineStr">
        <is>
          <t>Поиск · Брендовые</t>
        </is>
      </c>
      <c r="B5" s="4" t="inlineStr">
        <is>
          <t>Название клиники + витал</t>
        </is>
      </c>
      <c r="C5" s="5" t="n">
        <v>8</v>
      </c>
      <c r="D5" s="6" t="n">
        <v>2400</v>
      </c>
      <c r="E5" s="7" t="n">
        <v>0.18</v>
      </c>
      <c r="F5" s="6">
        <f>D5*E5</f>
        <v/>
      </c>
      <c r="G5" s="8" t="n">
        <v>38</v>
      </c>
      <c r="H5" s="8">
        <f>F5*G5</f>
        <v/>
      </c>
      <c r="I5" s="7">
        <f>H5/$H$12</f>
        <v/>
      </c>
    </row>
    <row r="6">
      <c r="A6" s="4" t="inlineStr">
        <is>
          <t>Поиск · Горячие</t>
        </is>
      </c>
      <c r="B6" s="4" t="inlineStr">
        <is>
          <t>мрт сделать / записаться / цена</t>
        </is>
      </c>
      <c r="C6" s="5" t="n">
        <v>45</v>
      </c>
      <c r="D6" s="6" t="n">
        <v>9800</v>
      </c>
      <c r="E6" s="7" t="n">
        <v>0.095</v>
      </c>
      <c r="F6" s="6">
        <f>D6*E6</f>
        <v/>
      </c>
      <c r="G6" s="8" t="n">
        <v>71</v>
      </c>
      <c r="H6" s="8">
        <f>F6*G6</f>
        <v/>
      </c>
      <c r="I6" s="7">
        <f>H6/$H$12</f>
        <v/>
      </c>
    </row>
    <row r="7">
      <c r="A7" s="4" t="inlineStr">
        <is>
          <t>Поиск · По зонам</t>
        </is>
      </c>
      <c r="B7" s="4" t="inlineStr">
        <is>
          <t>мрт головного мозга / позвоночника / суставов</t>
        </is>
      </c>
      <c r="C7" s="5" t="n">
        <v>120</v>
      </c>
      <c r="D7" s="6" t="n">
        <v>14500</v>
      </c>
      <c r="E7" s="7" t="n">
        <v>0.07199999999999999</v>
      </c>
      <c r="F7" s="6">
        <f>D7*E7</f>
        <v/>
      </c>
      <c r="G7" s="8" t="n">
        <v>64</v>
      </c>
      <c r="H7" s="8">
        <f>F7*G7</f>
        <v/>
      </c>
      <c r="I7" s="7">
        <f>H7/$H$12</f>
        <v/>
      </c>
    </row>
    <row r="8">
      <c r="A8" s="4" t="inlineStr">
        <is>
          <t>Поиск · Гео</t>
        </is>
      </c>
      <c r="B8" s="4" t="inlineStr">
        <is>
          <t>мрт рядом / в районе / адрес+метро</t>
        </is>
      </c>
      <c r="C8" s="5" t="n">
        <v>30</v>
      </c>
      <c r="D8" s="6" t="n">
        <v>5200</v>
      </c>
      <c r="E8" s="7" t="n">
        <v>0.08500000000000001</v>
      </c>
      <c r="F8" s="6">
        <f>D8*E8</f>
        <v/>
      </c>
      <c r="G8" s="8" t="n">
        <v>52</v>
      </c>
      <c r="H8" s="8">
        <f>F8*G8</f>
        <v/>
      </c>
      <c r="I8" s="7">
        <f>H8/$H$12</f>
        <v/>
      </c>
    </row>
    <row r="9">
      <c r="A9" s="4" t="inlineStr">
        <is>
          <t>Поиск · Конкуренты</t>
        </is>
      </c>
      <c r="B9" s="4" t="inlineStr">
        <is>
          <t>бренды соседних центров</t>
        </is>
      </c>
      <c r="C9" s="5" t="n">
        <v>22</v>
      </c>
      <c r="D9" s="6" t="n">
        <v>3100</v>
      </c>
      <c r="E9" s="7" t="n">
        <v>0.05</v>
      </c>
      <c r="F9" s="6">
        <f>D9*E9</f>
        <v/>
      </c>
      <c r="G9" s="8" t="n">
        <v>83</v>
      </c>
      <c r="H9" s="8">
        <f>F9*G9</f>
        <v/>
      </c>
      <c r="I9" s="7">
        <f>H9/$H$12</f>
        <v/>
      </c>
    </row>
    <row r="10">
      <c r="A10" s="4" t="inlineStr">
        <is>
          <t>РСЯ · Ретаргетинг</t>
        </is>
      </c>
      <c r="B10" s="4" t="inlineStr">
        <is>
          <t>не записался 1–14 дней (Метрика)</t>
        </is>
      </c>
      <c r="C10" s="5" t="n">
        <v>6</v>
      </c>
      <c r="D10" s="6" t="n">
        <v>26000</v>
      </c>
      <c r="E10" s="7" t="n">
        <v>0.006</v>
      </c>
      <c r="F10" s="6">
        <f>D10*E10</f>
        <v/>
      </c>
      <c r="G10" s="8" t="n">
        <v>19</v>
      </c>
      <c r="H10" s="8">
        <f>F10*G10</f>
        <v/>
      </c>
      <c r="I10" s="7">
        <f>H10/$H$12</f>
        <v/>
      </c>
    </row>
    <row r="11">
      <c r="A11" s="4" t="inlineStr">
        <is>
          <t>РСЯ · Look-alike+интересы</t>
        </is>
      </c>
      <c r="B11" s="4" t="inlineStr">
        <is>
          <t>здоровье/диагностика, похожие на клиентов</t>
        </is>
      </c>
      <c r="C11" s="5" t="n">
        <v>0</v>
      </c>
      <c r="D11" s="6" t="n">
        <v>41000</v>
      </c>
      <c r="E11" s="7" t="n">
        <v>0.004</v>
      </c>
      <c r="F11" s="6">
        <f>D11*E11</f>
        <v/>
      </c>
      <c r="G11" s="8" t="n">
        <v>14</v>
      </c>
      <c r="H11" s="8">
        <f>F11*G11</f>
        <v/>
      </c>
      <c r="I11" s="7">
        <f>H11/$H$12</f>
        <v/>
      </c>
    </row>
    <row r="12">
      <c r="A12" s="9" t="inlineStr">
        <is>
          <t>ИТОГО</t>
        </is>
      </c>
      <c r="B12" s="9" t="n"/>
      <c r="C12" s="9" t="n"/>
      <c r="D12" s="10">
        <f>SUM(D5:D11)</f>
        <v/>
      </c>
      <c r="E12" s="11">
        <f>F12/D12</f>
        <v/>
      </c>
      <c r="F12" s="10">
        <f>SUM(F5:F11)</f>
        <v/>
      </c>
      <c r="G12" s="12">
        <f>H12/F12</f>
        <v/>
      </c>
      <c r="H12" s="12">
        <f>SUM(H5:H11)</f>
        <v/>
      </c>
    </row>
    <row r="14">
      <c r="A14" s="13" t="inlineStr">
        <is>
          <t>Прогноз заявок и стоимости (юнит-экономика)</t>
        </is>
      </c>
    </row>
    <row r="15">
      <c r="A15" s="4" t="inlineStr">
        <is>
          <t>Клики/мес (из медиаплана)</t>
        </is>
      </c>
      <c r="B15" s="14">
        <f>F12</f>
        <v/>
      </c>
    </row>
    <row r="16">
      <c r="A16" s="4" t="inlineStr">
        <is>
          <t>Конверсия сайта в заявку (CR)</t>
        </is>
      </c>
      <c r="B16" s="15" t="n">
        <v>0.08</v>
      </c>
    </row>
    <row r="17">
      <c r="A17" s="4" t="inlineStr">
        <is>
          <t>Заявок/мес</t>
        </is>
      </c>
      <c r="B17" s="14">
        <f>B15*B16</f>
        <v/>
      </c>
    </row>
    <row r="18">
      <c r="A18" s="4" t="inlineStr">
        <is>
          <t>Бюджет/мес, ₽</t>
        </is>
      </c>
      <c r="B18" s="16">
        <f>H12</f>
        <v/>
      </c>
    </row>
    <row r="19">
      <c r="A19" s="4" t="inlineStr">
        <is>
          <t>CPL (цена заявки), ₽</t>
        </is>
      </c>
      <c r="B19" s="16">
        <f>B18/B17</f>
        <v/>
      </c>
    </row>
    <row r="20">
      <c r="A20" s="4" t="inlineStr">
        <is>
          <t>Конверсия заявка→пациент</t>
        </is>
      </c>
      <c r="B20" s="15" t="n">
        <v>0.4</v>
      </c>
    </row>
    <row r="21">
      <c r="A21" s="4" t="inlineStr">
        <is>
          <t>Пациентов/мес</t>
        </is>
      </c>
      <c r="B21" s="14">
        <f>B17*B20</f>
        <v/>
      </c>
    </row>
    <row r="22">
      <c r="A22" s="4" t="inlineStr">
        <is>
          <t>CAC (цена пациента), ₽</t>
        </is>
      </c>
      <c r="B22" s="16">
        <f>B18/B21</f>
        <v/>
      </c>
    </row>
    <row r="23">
      <c r="A23" s="4" t="inlineStr">
        <is>
          <t>Средний чек МРТ (мультизона/повтор), ₽</t>
        </is>
      </c>
      <c r="B23" s="16" t="n">
        <v>6000</v>
      </c>
    </row>
    <row r="24">
      <c r="A24" s="4" t="inlineStr">
        <is>
          <t>Выручка/мес, ₽</t>
        </is>
      </c>
      <c r="B24" s="16">
        <f>B21*B23</f>
        <v/>
      </c>
    </row>
    <row r="25">
      <c r="A25" s="4" t="inlineStr">
        <is>
          <t>ДРР (доля рекл. расходов)</t>
        </is>
      </c>
      <c r="B25" s="7">
        <f>B18/B24</f>
        <v/>
      </c>
    </row>
    <row r="27">
      <c r="A27" s="2" t="inlineStr">
        <is>
          <t>Жёлтым — вводные допущения (CR, конверсии, чек): заменяются на факт заказчика. Остальное — формулы.</t>
        </is>
      </c>
    </row>
  </sheetData>
  <mergeCells count="4">
    <mergeCell ref="A1:I1"/>
    <mergeCell ref="A2:I2"/>
    <mergeCell ref="A14:D14"/>
    <mergeCell ref="A27:F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0" customWidth="1" min="1" max="1"/>
    <col width="52" customWidth="1" min="2" max="2"/>
  </cols>
  <sheetData>
    <row r="1">
      <c r="A1" s="1" t="inlineStr">
        <is>
          <t>Минус-слова (базовый медицинский список) и цели Яндекс.Метрики</t>
        </is>
      </c>
    </row>
    <row r="3">
      <c r="A3" s="3" t="inlineStr">
        <is>
          <t>Категория минус-слов</t>
        </is>
      </c>
      <c r="B3" s="3" t="inlineStr">
        <is>
          <t>Примеры (фрагмент рабочего списка)</t>
        </is>
      </c>
    </row>
    <row r="4">
      <c r="A4" s="4" t="inlineStr">
        <is>
          <t>Бесплатно / по ОМС</t>
        </is>
      </c>
      <c r="B4" s="4" t="inlineStr">
        <is>
          <t>бесплатно, омс, по полису, квота, направление</t>
        </is>
      </c>
    </row>
    <row r="5">
      <c r="A5" s="4" t="inlineStr">
        <is>
          <t>Работа / обучение</t>
        </is>
      </c>
      <c r="B5" s="4" t="inlineStr">
        <is>
          <t>вакансия, работа, курсы, обучение, профессия, зарплата</t>
        </is>
      </c>
    </row>
    <row r="6">
      <c r="A6" s="4" t="inlineStr">
        <is>
          <t>Информационные</t>
        </is>
      </c>
      <c r="B6" s="4" t="inlineStr">
        <is>
          <t>что такое, как делают, расшифровка, вики, форум, отзывы врачей</t>
        </is>
      </c>
    </row>
    <row r="7">
      <c r="A7" s="4" t="inlineStr">
        <is>
          <t>Самостоятельно / DIY</t>
        </is>
      </c>
      <c r="B7" s="4" t="inlineStr">
        <is>
          <t>своими руками, в домашних условиях, аппарат купить</t>
        </is>
      </c>
    </row>
    <row r="8">
      <c r="A8" s="4" t="inlineStr">
        <is>
          <t>Другие города/учреждения</t>
        </is>
      </c>
      <c r="B8" s="4" t="inlineStr">
        <is>
          <t>&lt;города вне гео&gt;, поликлиника №, больница им.</t>
        </is>
      </c>
    </row>
    <row r="9">
      <c r="A9" s="4" t="inlineStr">
        <is>
          <t>Животные</t>
        </is>
      </c>
      <c r="B9" s="4" t="inlineStr">
        <is>
          <t>собаке, кошке, ветеринар, животным</t>
        </is>
      </c>
    </row>
    <row r="12">
      <c r="A12" s="17" t="inlineStr">
        <is>
          <t>Цель в Метрике</t>
        </is>
      </c>
      <c r="B12" s="17" t="inlineStr">
        <is>
          <t>Тип / условие</t>
        </is>
      </c>
    </row>
    <row r="13">
      <c r="A13" s="4" t="inlineStr">
        <is>
          <t>Отправка формы записи</t>
        </is>
      </c>
      <c r="B13" s="4" t="inlineStr">
        <is>
          <t>JavaScript-событие form_submit</t>
        </is>
      </c>
    </row>
    <row r="14">
      <c r="A14" s="4" t="inlineStr">
        <is>
          <t>Клик по телефону</t>
        </is>
      </c>
      <c r="B14" s="4" t="inlineStr">
        <is>
          <t>клик по tel: — клик по элементу</t>
        </is>
      </c>
    </row>
    <row r="15">
      <c r="A15" s="4" t="inlineStr">
        <is>
          <t>Клик по WhatsApp/Telegram</t>
        </is>
      </c>
      <c r="B15" s="4" t="inlineStr">
        <is>
          <t>клик по мессенджеру — внешняя ссылка</t>
        </is>
      </c>
    </row>
    <row r="16">
      <c r="A16" s="4" t="inlineStr">
        <is>
          <t>Заказ обратного звонка</t>
        </is>
      </c>
      <c r="B16" s="4" t="inlineStr">
        <is>
          <t>событие callback</t>
        </is>
      </c>
    </row>
    <row r="17">
      <c r="A17" s="4" t="inlineStr">
        <is>
          <t>Глубина/время (микроцель)</t>
        </is>
      </c>
      <c r="B17" s="4" t="inlineStr">
        <is>
          <t>&gt;2 мин ИЛИ &gt;3 страниц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2026-06-26T13:17:28Z</dcterms:created>
  <dcterms:modified xmlns:dcterms="http://purl.org/dc/terms/" xmlns:xsi="http://www.w3.org/2001/XMLSchema-instance" xsi:type="dcterms:W3CDTF">2026-06-26T13:17:28Z</dcterms:modified>
</cp:coreProperties>
</file>